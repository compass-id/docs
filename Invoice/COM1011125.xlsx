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96F1844C-6AAD-4425-8E9A-344A5DFA60C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 a="1"/>
  <c r="E19" i="1" s="1"/>
  <c r="E20" i="1" a="1"/>
  <c r="E20" i="1" s="1"/>
  <c r="E21" i="1" a="1"/>
  <c r="E21" i="1" s="1"/>
  <c r="E18" i="1" a="1"/>
  <c r="E18" i="1" s="1"/>
  <c r="C21" i="1" a="1"/>
  <c r="C21" i="1" s="1"/>
  <c r="C20" i="1" a="1"/>
  <c r="C20" i="1" s="1"/>
  <c r="C19" i="1" a="1"/>
  <c r="C19" i="1" s="1"/>
  <c r="C18" i="1" a="1"/>
  <c r="C18" i="1" s="1"/>
  <c r="H18" i="1" l="1"/>
  <c r="H19" i="1"/>
  <c r="H20" i="1"/>
  <c r="G18" i="1"/>
  <c r="G19" i="1"/>
  <c r="G20" i="1"/>
  <c r="D15" i="1"/>
  <c r="C15" i="1"/>
  <c r="H21" i="1" l="1"/>
  <c r="H22" i="1" s="1"/>
  <c r="G21" i="1"/>
  <c r="B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<sst xmlns="http://schemas.openxmlformats.org/spreadsheetml/2006/main" count="29" uniqueCount="29">
  <si>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</si>
  <si>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</si>
  <si>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</si>
  <si>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</si>
  <si>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</si>
  <si>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</si>
  <si>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</si>
  <si>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</si>
  <si>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</si>
  <si>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</si>
  <si>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</si>
  <si>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</si>
  <si>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</si>
  <si>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</si>
  <si>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</si>
  <si>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</si>
  <si>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</si>
  <si>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</si>
  <si>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</si>
  <si>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</si>
  <si>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</si>
  <si>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</si>
  <si>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</si>
  <si>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Ms Sapto - YPK Gloria Surabaya</t>
  </si>
  <si>
    <t>COM1011125</t>
  </si>
  <si>
    <t>Boost English 2 - Student Book</t>
  </si>
  <si>
    <t>Boost English 5 - Student Book</t>
  </si>
  <si>
    <t>Boost English 2 - Work Book</t>
  </si>
  <si>
    <t>Boost English 5 - Work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</si>
</sst>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4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29</xdr:row>
      <xdr:rowOff>168088</xdr:rowOff>
    </xdr:from>
    <xdr:to>
      <xdr:col>1</xdr:col>
      <xdr:colOff>1356518</xdr:colOff>
      <xdr:row>33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topLeftCell="A3" zoomScale="85" zoomScaleNormal="85" workbookViewId="0">
      <selection activeCell="F18" sqref="F18:F21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2" t="s">
        <v>15</v>
      </c>
      <c r="E5" s="34" t="s">
        <v>24</v>
      </c>
      <c r="F5" s="42" t="s">
        <v>1</v>
      </c>
      <c r="G5" s="41">
        <v>45788</v>
      </c>
    </row>
    <row r="6" spans="1:8">
      <c r="B6" s="56" t="s">
        <v>2</v>
      </c>
      <c r="C6" s="57"/>
      <c r="D6" s="46" t="s">
        <v>3</v>
      </c>
      <c r="E6" s="46"/>
      <c r="F6" s="46"/>
      <c r="G6" s="46"/>
      <c r="H6" s="16"/>
    </row>
    <row r="7" spans="1:8" ht="15.75" customHeight="1">
      <c r="B7" s="55" t="s">
        <v>23</v>
      </c>
      <c r="C7" s="55"/>
      <c r="D7" s="52"/>
      <c r="E7" s="53"/>
      <c r="F7" s="53"/>
      <c r="G7" s="53"/>
      <c r="H7" s="16"/>
    </row>
    <row r="8" spans="1:8">
      <c r="B8" s="55"/>
      <c r="C8" s="55"/>
      <c r="D8" s="54"/>
      <c r="E8" s="55"/>
      <c r="F8" s="55"/>
      <c r="G8" s="55"/>
      <c r="H8" s="16"/>
    </row>
    <row r="9" spans="1:8">
      <c r="B9" s="58" t="s">
        <v>4</v>
      </c>
      <c r="C9" s="59"/>
      <c r="D9" s="46" t="s">
        <v>5</v>
      </c>
      <c r="E9" s="46"/>
      <c r="F9" s="46"/>
      <c r="G9" s="60"/>
      <c r="H9" s="16"/>
    </row>
    <row r="10" spans="1:8">
      <c r="B10" s="48"/>
      <c r="C10" s="48"/>
      <c r="D10" s="31"/>
      <c r="E10"/>
      <c r="F10"/>
      <c r="G10" s="32"/>
      <c r="H10" s="16"/>
    </row>
    <row r="11" spans="1:8">
      <c r="B11" s="46" t="s">
        <v>6</v>
      </c>
      <c r="C11" s="46"/>
      <c r="D11" s="31"/>
      <c r="E11"/>
      <c r="F11"/>
      <c r="G11" s="32"/>
      <c r="H11" s="16"/>
    </row>
    <row r="12" spans="1:8">
      <c r="B12" s="47"/>
      <c r="C12" s="47"/>
      <c r="D12" s="49"/>
      <c r="E12" s="50"/>
      <c r="F12" s="50"/>
      <c r="G12" s="51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SUM(H18:H21)</f>
        <v>361200</v>
      </c>
      <c r="C15" s="20">
        <f>COUNT(D18:D21)</f>
        <v>4</v>
      </c>
      <c r="D15" s="20">
        <f>SUM(D18:D21)</f>
        <v>4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6" t="s">
        <v>22</v>
      </c>
      <c r="C17" s="37" t="s">
        <v>9</v>
      </c>
      <c r="D17" s="37" t="s">
        <v>10</v>
      </c>
      <c r="E17" s="37" t="s">
        <v>16</v>
      </c>
      <c r="F17" s="37" t="s">
        <v>11</v>
      </c>
      <c r="G17" s="37" t="s">
        <v>17</v>
      </c>
      <c r="H17" s="38" t="s">
        <v>19</v>
      </c>
    </row>
    <row r="18" spans="2:8">
      <c r="B18" s="61" t="s">
        <v>25</v>
      </c>
      <c r="C18" s="30" t="str" cm="1">
        <f t="array" ref="C18">_xlfn.REGEXEXTRACT(_xlfn.WEBSERVICE("https://seg-server.vercel.app/api/books/isbn/"&amp;B18), "\d+")</f>
        <v>9781685912772</v>
      </c>
      <c r="D18" s="62">
        <v>1</v>
      </c>
      <c r="E18" s="40" cm="1">
        <f t="array" ref="E18">_xlfn.NUMBERVALUE(_xlfn.REGEXEXTRACT(_xlfn.WEBSERVICE("https://seg-server.vercel.app/api/books/price/"&amp;C18), "\d+"))</f>
        <v>140000</v>
      </c>
      <c r="F18" s="63">
        <v>0.3</v>
      </c>
      <c r="G18" s="39">
        <f t="shared" ref="G18:G20" si="0">(E18-(E18*F18))</f>
        <v>98000</v>
      </c>
      <c r="H18" s="39">
        <f t="shared" ref="H18:H20" si="1">(E18-(E18*F18))*(D18)</f>
        <v>98000</v>
      </c>
    </row>
    <row r="19" spans="2:8">
      <c r="B19" s="61" t="s">
        <v>26</v>
      </c>
      <c r="C19" s="30" t="str" cm="1">
        <f t="array" ref="C19">_xlfn.REGEXEXTRACT(_xlfn.WEBSERVICE("https://seg-server.vercel.app/api/books/isbn/"&amp;B19), "\d+")</f>
        <v>9781685912833</v>
      </c>
      <c r="D19" s="62">
        <v>1</v>
      </c>
      <c r="E19" s="40" cm="1">
        <f t="array" ref="E19">_xlfn.NUMBERVALUE(_xlfn.REGEXEXTRACT(_xlfn.WEBSERVICE("https://seg-server.vercel.app/api/books/price/"&amp;C19), "\d+"))</f>
        <v>140000</v>
      </c>
      <c r="F19" s="63">
        <v>0.3</v>
      </c>
      <c r="G19" s="39">
        <f t="shared" si="0"/>
        <v>98000</v>
      </c>
      <c r="H19" s="39">
        <f t="shared" si="1"/>
        <v>98000</v>
      </c>
    </row>
    <row r="20" spans="2:8">
      <c r="B20" s="61" t="s">
        <v>27</v>
      </c>
      <c r="C20" s="30" t="str" cm="1">
        <f t="array" ref="C20">_xlfn.REGEXEXTRACT(_xlfn.WEBSERVICE("https://seg-server.vercel.app/api/books/isbn/"&amp;B20), "\d+")</f>
        <v>9781685912789</v>
      </c>
      <c r="D20" s="62">
        <v>1</v>
      </c>
      <c r="E20" s="40" cm="1">
        <f t="array" ref="E20">_xlfn.NUMBERVALUE(_xlfn.REGEXEXTRACT(_xlfn.WEBSERVICE("https://seg-server.vercel.app/api/books/price/"&amp;C20), "\d+"))</f>
        <v>118000</v>
      </c>
      <c r="F20" s="63">
        <v>0.3</v>
      </c>
      <c r="G20" s="39">
        <f t="shared" si="0"/>
        <v>82600</v>
      </c>
      <c r="H20" s="39">
        <f t="shared" si="1"/>
        <v>82600</v>
      </c>
    </row>
    <row r="21" spans="2:8">
      <c r="B21" s="61" t="s">
        <v>28</v>
      </c>
      <c r="C21" s="30" t="str" cm="1">
        <f t="array" ref="C21">_xlfn.REGEXEXTRACT(_xlfn.WEBSERVICE("https://seg-server.vercel.app/api/books/isbn/"&amp;B21), "\d+")</f>
        <v>9781685912840</v>
      </c>
      <c r="D21" s="62">
        <v>1</v>
      </c>
      <c r="E21" s="40" cm="1">
        <f t="array" ref="E21">_xlfn.NUMBERVALUE(_xlfn.REGEXEXTRACT(_xlfn.WEBSERVICE("https://seg-server.vercel.app/api/books/price/"&amp;C21), "\d+"))</f>
        <v>118000</v>
      </c>
      <c r="F21" s="63">
        <v>0.3</v>
      </c>
      <c r="G21" s="39">
        <f t="shared" ref="G21" si="2">(E21-(E21*F21))</f>
        <v>82600</v>
      </c>
      <c r="H21" s="39">
        <f t="shared" ref="H21" si="3">(E21-(E21*F21))*(D21)</f>
        <v>82600</v>
      </c>
    </row>
    <row r="22" spans="2:8">
      <c r="G22" s="28" t="s">
        <v>20</v>
      </c>
      <c r="H22" s="35">
        <f>SUM(H18:H21)</f>
        <v>361200</v>
      </c>
    </row>
    <row r="24" spans="2:8">
      <c r="B24" s="22"/>
      <c r="C24" s="23"/>
      <c r="D24" s="23"/>
      <c r="E24" s="23"/>
      <c r="F24" s="23"/>
      <c r="G24" s="23"/>
      <c r="H24" s="24"/>
    </row>
    <row r="25" spans="2:8">
      <c r="B25" s="29" t="s">
        <v>18</v>
      </c>
      <c r="E25" s="4"/>
      <c r="G25" s="4"/>
      <c r="H25" s="26"/>
    </row>
    <row r="26" spans="2:8">
      <c r="B26" s="33"/>
      <c r="E26" s="4"/>
      <c r="G26" s="4"/>
      <c r="H26" s="26"/>
    </row>
    <row r="27" spans="2:8">
      <c r="B27" s="33"/>
      <c r="E27" s="4"/>
      <c r="G27" s="4"/>
      <c r="H27" s="26"/>
    </row>
    <row r="28" spans="2:8">
      <c r="B28" s="33"/>
      <c r="E28" s="4"/>
      <c r="G28" s="4"/>
      <c r="H28" s="26"/>
    </row>
    <row r="29" spans="2:8">
      <c r="B29" s="25"/>
      <c r="E29" s="4"/>
      <c r="G29" s="4"/>
      <c r="H29" s="26"/>
    </row>
    <row r="30" spans="2:8">
      <c r="B30" s="27" t="s">
        <v>12</v>
      </c>
      <c r="E30" s="4"/>
      <c r="G30" s="4"/>
      <c r="H30" s="26"/>
    </row>
    <row r="31" spans="2:8">
      <c r="B31" s="25"/>
      <c r="E31" s="4"/>
      <c r="G31" s="4"/>
      <c r="H31" s="26"/>
    </row>
    <row r="32" spans="2:8" ht="39" customHeight="1">
      <c r="B32" s="25"/>
      <c r="E32" s="4"/>
      <c r="G32" s="4"/>
      <c r="H32" s="26"/>
    </row>
    <row r="33" spans="2:8">
      <c r="B33" s="25" t="s">
        <v>13</v>
      </c>
      <c r="C33" s="21"/>
      <c r="D33" s="21"/>
      <c r="E33" s="21"/>
      <c r="F33" s="21"/>
      <c r="G33" s="21"/>
      <c r="H33" s="26"/>
    </row>
    <row r="34" spans="2:8">
      <c r="B34" s="25"/>
      <c r="E34" s="4"/>
      <c r="G34" s="4"/>
      <c r="H34" s="26"/>
    </row>
    <row r="35" spans="2:8">
      <c r="B35" s="43" t="s">
        <v>14</v>
      </c>
      <c r="C35" s="44"/>
      <c r="D35" s="44"/>
      <c r="E35" s="44"/>
      <c r="F35" s="44"/>
      <c r="G35" s="44"/>
      <c r="H35" s="45"/>
    </row>
  </sheetData>
  <mergeCells count="11">
    <mergeCell ref="D7:G8"/>
    <mergeCell ref="B7:C8"/>
    <mergeCell ref="B6:C6"/>
    <mergeCell ref="D6:G6"/>
    <mergeCell ref="B9:C9"/>
    <mergeCell ref="D9:G9"/>
    <mergeCell ref="B35:H35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2025-11-05T03:16:43Z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