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Documents\SEG\docs\Invoice\"/>
    </mc:Choice>
  </mc:AlternateContent>
  <xr:revisionPtr revIDLastSave="0" documentId="8_{D8B96944-0F93-4A03-AFF4-03591B8B440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 a="1"/>
  <c r="C21" i="1" s="1"/>
  <c r="E21" i="1" s="1" a="1"/>
  <c r="E21" i="1" s="1"/>
  <c r="C20" i="1" a="1"/>
  <c r="C20" i="1" s="1"/>
  <c r="E20" i="1" s="1" a="1"/>
  <c r="E20" i="1" s="1"/>
  <c r="C19" i="1" a="1"/>
  <c r="C19" i="1" s="1"/>
  <c r="E19" i="1" s="1" a="1"/>
  <c r="E19" i="1" s="1"/>
  <c r="C18" i="1" a="1"/>
  <c r="C18" i="1" s="1"/>
  <c r="E18" i="1" s="1" a="1"/>
  <c r="E18" i="1" s="1"/>
  <c r="H18" i="1" l="1"/>
  <c r="H19" i="1"/>
  <c r="H20" i="1"/>
  <c r="G18" i="1"/>
  <c r="G19" i="1"/>
  <c r="G20" i="1"/>
  <c r="D15" i="1"/>
  <c r="C15" i="1"/>
  <c r="H21" i="1" l="1"/>
  <c r="H22" i="1" s="1"/>
  <c r="G21" i="1"/>
  <c r="B15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<sst xmlns="http://schemas.openxmlformats.org/spreadsheetml/2006/main" count="29" uniqueCount="29">
  <si>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</si>
  <si>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</si>
  <si>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</si>
  <si>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</si>
  <si>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</si>
  <si>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</si>
  <si>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</si>
  <si>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</si>
  <si>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</si>
  <si>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</si>
  <si>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</si>
  <si>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</si>
  <si>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</si>
  <si>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</si>
  <si>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</si>
  <si>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</si>
  <si>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Unit (Rp.)</t>
  </si>
  <si>
    <t>Amount (Rp.)</t>
  </si>
  <si>
    <t>Transfer to : BCA 4685015898 on behalf PT Solusi Edukasi Gemilang</t>
  </si>
  <si>
    <t>Total (Rp.)</t>
  </si>
  <si>
    <t>Grand Total (Rp.)</t>
  </si>
  <si>
    <t>Total Items</t>
  </si>
  <si>
    <t>Description of items</t>
  </si>
  <si>
    <t>English Corner</t>
  </si>
  <si>
    <t>COM1021125</t>
  </si>
  <si>
    <t>Boost English 1 - Student Book</t>
  </si>
  <si>
    <t>Boost English 4 - Student Book</t>
  </si>
  <si>
    <t>Boost English 1 - Work Book</t>
  </si>
  <si>
    <t>Boost English 4 - Work 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</si>
</sst>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4">
    <font>
      <sz val="11"/>
      <color rgb="FF000000"/>
      <name val="Calibri"/>
      <charset val="134"/>
    </font>
    <font>
      <sz val="12"/>
      <color rgb="FF000000"/>
      <name val="Calibri"/>
      <family val="2"/>
    </font>
    <font>
      <b/>
      <sz val="36"/>
      <color rgb="FF000000"/>
      <name val="Calibri"/>
      <family val="2"/>
    </font>
    <font>
      <sz val="16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</font>
    <font>
      <sz val="12"/>
      <color rgb="FF222222"/>
      <name val="Arial"/>
      <family val="2"/>
    </font>
    <font>
      <sz val="8"/>
      <name val="Calibri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  <border>
      <left style="thin">
        <color rgb="FF505050"/>
      </left>
      <right/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 style="thin">
        <color rgb="FF505050"/>
      </left>
      <right style="thin">
        <color indexed="64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505050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6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2" xfId="0" applyFont="1" applyBorder="1" applyAlignment="1">
      <alignment horizontal="left" vertical="center" indent="1"/>
    </xf>
    <xf numFmtId="164" fontId="8" fillId="0" borderId="3" xfId="0" applyNumberFormat="1" applyFont="1" applyBorder="1" applyAlignment="1">
      <alignment horizontal="center" vertical="center"/>
    </xf>
    <xf numFmtId="165" fontId="9" fillId="0" borderId="2" xfId="0" applyNumberFormat="1" applyFont="1" applyBorder="1" applyAlignment="1">
      <alignment horizontal="left" vertical="center" indent="2"/>
    </xf>
    <xf numFmtId="0" fontId="7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center" indent="1"/>
    </xf>
    <xf numFmtId="0" fontId="1" fillId="0" borderId="8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center" inden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left" vertical="center" indent="1"/>
    </xf>
    <xf numFmtId="1" fontId="13" fillId="0" borderId="13" xfId="0" applyNumberFormat="1" applyFont="1" applyBorder="1" applyAlignment="1">
      <alignment horizontal="center" vertical="center" wrapText="1"/>
    </xf>
    <xf numFmtId="0" fontId="0" fillId="0" borderId="7" xfId="0" applyBorder="1"/>
    <xf numFmtId="0" fontId="0" fillId="0" borderId="20" xfId="0" applyBorder="1"/>
    <xf numFmtId="0" fontId="9" fillId="0" borderId="22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center" vertical="center"/>
    </xf>
    <xf numFmtId="164" fontId="11" fillId="2" borderId="16" xfId="0" applyNumberFormat="1" applyFont="1" applyFill="1" applyBorder="1" applyAlignment="1">
      <alignment horizontal="center" vertical="center" wrapText="1"/>
    </xf>
    <xf numFmtId="0" fontId="8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top"/>
    </xf>
    <xf numFmtId="164" fontId="11" fillId="2" borderId="13" xfId="0" applyNumberFormat="1" applyFont="1" applyFill="1" applyBorder="1" applyAlignment="1">
      <alignment horizontal="center" vertical="center" wrapText="1"/>
    </xf>
    <xf numFmtId="164" fontId="13" fillId="0" borderId="13" xfId="0" applyNumberFormat="1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3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 vertical="center" indent="1"/>
    </xf>
    <xf numFmtId="0" fontId="1" fillId="0" borderId="16" xfId="0" applyFont="1" applyBorder="1" applyAlignment="1">
      <alignment horizontal="left" vertical="center" indent="1"/>
    </xf>
    <xf numFmtId="0" fontId="1" fillId="0" borderId="10" xfId="0" applyFont="1" applyBorder="1" applyAlignment="1">
      <alignment horizontal="left" vertical="center" indent="1"/>
    </xf>
    <xf numFmtId="0" fontId="1" fillId="0" borderId="3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4" fillId="0" borderId="14" xfId="0" applyFont="1" applyBorder="1" applyAlignment="1">
      <alignment horizontal="left" vertical="center" indent="1"/>
    </xf>
    <xf numFmtId="0" fontId="4" fillId="0" borderId="3" xfId="0" applyFont="1" applyBorder="1" applyAlignment="1">
      <alignment horizontal="left" vertical="center" indent="1"/>
    </xf>
    <xf numFmtId="0" fontId="4" fillId="0" borderId="16" xfId="0" applyFont="1" applyBorder="1" applyAlignment="1">
      <alignment horizontal="left" vertical="center" indent="1"/>
    </xf>
    <xf numFmtId="0" fontId="4" fillId="0" borderId="17" xfId="0" applyFont="1" applyBorder="1" applyAlignment="1">
      <alignment horizontal="left" vertical="center" indent="1"/>
    </xf>
    <xf numFmtId="0" fontId="4" fillId="0" borderId="19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1" fillId="0" borderId="3" xfId="0" quotePrefix="1" applyFont="1" applyBorder="1" applyAlignment="1">
      <alignment horizontal="left" vertical="center" indent="1"/>
    </xf>
    <xf numFmtId="0" fontId="10" fillId="0" borderId="3" xfId="1" applyBorder="1" applyAlignment="1">
      <alignment horizontal="left" vertical="center" indent="1"/>
    </xf>
    <xf numFmtId="0" fontId="1" fillId="0" borderId="17" xfId="0" applyFont="1" applyBorder="1" applyAlignment="1">
      <alignment horizontal="left" vertical="center" indent="1"/>
    </xf>
    <xf numFmtId="0" fontId="1" fillId="0" borderId="18" xfId="0" applyFont="1" applyBorder="1" applyAlignment="1">
      <alignment horizontal="left" vertical="center" indent="1"/>
    </xf>
    <xf numFmtId="0" fontId="1" fillId="0" borderId="21" xfId="0" applyFont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232372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29</xdr:row>
      <xdr:rowOff>168088</xdr:rowOff>
    </xdr:from>
    <xdr:to>
      <xdr:col>1</xdr:col>
      <xdr:colOff>1356518</xdr:colOff>
      <xdr:row>33</xdr:row>
      <xdr:rowOff>68869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5"/>
  <sheetViews>
    <sheetView tabSelected="1" topLeftCell="A3" zoomScale="85" zoomScaleNormal="85" workbookViewId="0">
      <selection activeCell="D22" sqref="D22"/>
    </sheetView>
  </sheetViews>
  <sheetFormatPr defaultColWidth="9" defaultRowHeight="15.75"/>
  <cols>
    <col min="1" max="1" width="8.5703125" style="2" customWidth="1"/>
    <col min="2" max="2" width="70.7109375" style="3" bestFit="1" customWidth="1"/>
    <col min="3" max="3" width="32.28515625" style="4" customWidth="1"/>
    <col min="4" max="4" width="24" style="4" customWidth="1"/>
    <col min="5" max="5" width="32" style="5" customWidth="1"/>
    <col min="6" max="6" width="21.85546875" style="4" customWidth="1"/>
    <col min="7" max="7" width="38.140625" style="5" customWidth="1"/>
    <col min="8" max="8" width="35.5703125" style="2" customWidth="1"/>
  </cols>
  <sheetData>
    <row r="1" spans="1:8">
      <c r="E1" s="4"/>
      <c r="G1" s="6"/>
    </row>
    <row r="2" spans="1:8">
      <c r="E2" s="4"/>
      <c r="G2" s="6"/>
    </row>
    <row r="3" spans="1:8" s="1" customFormat="1" ht="104.25" customHeight="1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>
      <c r="E4" s="4"/>
      <c r="G4" s="4"/>
    </row>
    <row r="5" spans="1:8">
      <c r="D5" s="42" t="s">
        <v>15</v>
      </c>
      <c r="E5" s="34" t="s">
        <v>24</v>
      </c>
      <c r="F5" s="42" t="s">
        <v>1</v>
      </c>
      <c r="G5" s="41">
        <v>45788</v>
      </c>
    </row>
    <row r="6" spans="1:8">
      <c r="B6" s="50" t="s">
        <v>2</v>
      </c>
      <c r="C6" s="51"/>
      <c r="D6" s="52" t="s">
        <v>3</v>
      </c>
      <c r="E6" s="52"/>
      <c r="F6" s="52"/>
      <c r="G6" s="52"/>
      <c r="H6" s="16"/>
    </row>
    <row r="7" spans="1:8" ht="15.75" customHeight="1">
      <c r="B7" s="49" t="s">
        <v>23</v>
      </c>
      <c r="C7" s="49"/>
      <c r="D7" s="46"/>
      <c r="E7" s="47"/>
      <c r="F7" s="47"/>
      <c r="G7" s="47"/>
      <c r="H7" s="16"/>
    </row>
    <row r="8" spans="1:8">
      <c r="B8" s="49"/>
      <c r="C8" s="49"/>
      <c r="D8" s="48"/>
      <c r="E8" s="49"/>
      <c r="F8" s="49"/>
      <c r="G8" s="49"/>
      <c r="H8" s="16"/>
    </row>
    <row r="9" spans="1:8">
      <c r="B9" s="53" t="s">
        <v>4</v>
      </c>
      <c r="C9" s="54"/>
      <c r="D9" s="52" t="s">
        <v>5</v>
      </c>
      <c r="E9" s="52"/>
      <c r="F9" s="52"/>
      <c r="G9" s="55"/>
      <c r="H9" s="16"/>
    </row>
    <row r="10" spans="1:8">
      <c r="B10" s="60"/>
      <c r="C10" s="60"/>
      <c r="D10" s="31"/>
      <c r="E10"/>
      <c r="F10"/>
      <c r="G10" s="32"/>
      <c r="H10" s="16"/>
    </row>
    <row r="11" spans="1:8">
      <c r="B11" s="52" t="s">
        <v>6</v>
      </c>
      <c r="C11" s="52"/>
      <c r="D11" s="31"/>
      <c r="E11"/>
      <c r="F11"/>
      <c r="G11" s="32"/>
      <c r="H11" s="16"/>
    </row>
    <row r="12" spans="1:8">
      <c r="B12" s="59"/>
      <c r="C12" s="59"/>
      <c r="D12" s="61"/>
      <c r="E12" s="62"/>
      <c r="F12" s="62"/>
      <c r="G12" s="63"/>
      <c r="H12" s="16"/>
    </row>
    <row r="13" spans="1:8" ht="15.75" customHeight="1">
      <c r="B13" s="11"/>
      <c r="C13" s="12"/>
      <c r="D13" s="12"/>
      <c r="E13" s="13"/>
      <c r="F13" s="12"/>
      <c r="G13" s="13"/>
      <c r="H13" s="16"/>
    </row>
    <row r="14" spans="1:8">
      <c r="B14" s="17" t="s">
        <v>7</v>
      </c>
      <c r="C14" s="18" t="s">
        <v>21</v>
      </c>
      <c r="D14" s="18" t="s">
        <v>8</v>
      </c>
      <c r="E14" s="14"/>
      <c r="F14" s="12"/>
      <c r="G14" s="15"/>
      <c r="H14" s="16"/>
    </row>
    <row r="15" spans="1:8">
      <c r="B15" s="19">
        <f>SUM(H18:H21)</f>
        <v>722400</v>
      </c>
      <c r="C15" s="20">
        <f>COUNT(D18:D21)</f>
        <v>4</v>
      </c>
      <c r="D15" s="20">
        <f>SUM(D18:D21)</f>
        <v>8</v>
      </c>
      <c r="E15" s="13"/>
      <c r="F15" s="12"/>
      <c r="G15" s="13"/>
      <c r="H15" s="16"/>
    </row>
    <row r="16" spans="1:8">
      <c r="B16" s="11"/>
      <c r="C16" s="12"/>
      <c r="D16" s="12"/>
      <c r="E16" s="13"/>
      <c r="F16" s="12"/>
      <c r="G16" s="13"/>
      <c r="H16" s="16"/>
    </row>
    <row r="17" spans="2:8">
      <c r="B17" s="36" t="s">
        <v>22</v>
      </c>
      <c r="C17" s="37" t="s">
        <v>9</v>
      </c>
      <c r="D17" s="37" t="s">
        <v>10</v>
      </c>
      <c r="E17" s="37" t="s">
        <v>16</v>
      </c>
      <c r="F17" s="37" t="s">
        <v>11</v>
      </c>
      <c r="G17" s="37" t="s">
        <v>17</v>
      </c>
      <c r="H17" s="38" t="s">
        <v>19</v>
      </c>
    </row>
    <row r="18" spans="2:8">
      <c r="B18" s="43" t="s">
        <v>25</v>
      </c>
      <c r="C18" s="30" t="str" cm="1">
        <f t="array" ref="C18">_xlfn.REGEXEXTRACT(_xlfn.WEBSERVICE("https://seg-server.vercel.app/api/books/isbn/"&amp;B18), "\d+")</f>
        <v>9781685912758</v>
      </c>
      <c r="D18" s="44">
        <v>1</v>
      </c>
      <c r="E18" s="40" cm="1">
        <f t="array" ref="E18">_xlfn.NUMBERVALUE(_xlfn.REGEXEXTRACT(_xlfn.WEBSERVICE("https://seg-server.vercel.app/api/books/price/"&amp;C18), "\d+"))</f>
        <v>140000</v>
      </c>
      <c r="F18" s="45">
        <v>0.3</v>
      </c>
      <c r="G18" s="39">
        <f t="shared" ref="G18:G20" si="0">(E18-(E18*F18))</f>
        <v>98000</v>
      </c>
      <c r="H18" s="39">
        <f t="shared" ref="H18:H20" si="1">(E18-(E18*F18))*(D18)</f>
        <v>98000</v>
      </c>
    </row>
    <row r="19" spans="2:8">
      <c r="B19" s="43" t="s">
        <v>26</v>
      </c>
      <c r="C19" s="30" t="str" cm="1">
        <f t="array" ref="C19">_xlfn.REGEXEXTRACT(_xlfn.WEBSERVICE("https://seg-server.vercel.app/api/books/isbn/"&amp;B19), "\d+")</f>
        <v>9781685912819</v>
      </c>
      <c r="D19" s="44">
        <v>3</v>
      </c>
      <c r="E19" s="40" cm="1">
        <f t="array" ref="E19">_xlfn.NUMBERVALUE(_xlfn.REGEXEXTRACT(_xlfn.WEBSERVICE("https://seg-server.vercel.app/api/books/price/"&amp;C19), "\d+"))</f>
        <v>140000</v>
      </c>
      <c r="F19" s="45">
        <v>0.3</v>
      </c>
      <c r="G19" s="39">
        <f t="shared" si="0"/>
        <v>98000</v>
      </c>
      <c r="H19" s="39">
        <f t="shared" si="1"/>
        <v>294000</v>
      </c>
    </row>
    <row r="20" spans="2:8">
      <c r="B20" s="43" t="s">
        <v>27</v>
      </c>
      <c r="C20" s="30" t="str" cm="1">
        <f t="array" ref="C20">_xlfn.REGEXEXTRACT(_xlfn.WEBSERVICE("https://seg-server.vercel.app/api/books/isbn/"&amp;B20), "\d+")</f>
        <v>9781685912765</v>
      </c>
      <c r="D20" s="44">
        <v>1</v>
      </c>
      <c r="E20" s="40" cm="1">
        <f t="array" ref="E20">_xlfn.NUMBERVALUE(_xlfn.REGEXEXTRACT(_xlfn.WEBSERVICE("https://seg-server.vercel.app/api/books/price/"&amp;C20), "\d+"))</f>
        <v>118000</v>
      </c>
      <c r="F20" s="45">
        <v>0.3</v>
      </c>
      <c r="G20" s="39">
        <f t="shared" si="0"/>
        <v>82600</v>
      </c>
      <c r="H20" s="39">
        <f t="shared" si="1"/>
        <v>82600</v>
      </c>
    </row>
    <row r="21" spans="2:8">
      <c r="B21" s="43" t="s">
        <v>28</v>
      </c>
      <c r="C21" s="30" t="str" cm="1">
        <f t="array" ref="C21">_xlfn.REGEXEXTRACT(_xlfn.WEBSERVICE("https://seg-server.vercel.app/api/books/isbn/"&amp;B21), "\d+")</f>
        <v>9781685912826</v>
      </c>
      <c r="D21" s="44">
        <v>3</v>
      </c>
      <c r="E21" s="40" cm="1">
        <f t="array" ref="E21">_xlfn.NUMBERVALUE(_xlfn.REGEXEXTRACT(_xlfn.WEBSERVICE("https://seg-server.vercel.app/api/books/price/"&amp;C21), "\d+"))</f>
        <v>118000</v>
      </c>
      <c r="F21" s="45">
        <v>0.3</v>
      </c>
      <c r="G21" s="39">
        <f t="shared" ref="G21" si="2">(E21-(E21*F21))</f>
        <v>82600</v>
      </c>
      <c r="H21" s="39">
        <f t="shared" ref="H21" si="3">(E21-(E21*F21))*(D21)</f>
        <v>247800</v>
      </c>
    </row>
    <row r="22" spans="2:8">
      <c r="G22" s="28" t="s">
        <v>20</v>
      </c>
      <c r="H22" s="35">
        <f>SUM(H18:H21)</f>
        <v>722400</v>
      </c>
    </row>
    <row r="24" spans="2:8">
      <c r="B24" s="22"/>
      <c r="C24" s="23"/>
      <c r="D24" s="23"/>
      <c r="E24" s="23"/>
      <c r="F24" s="23"/>
      <c r="G24" s="23"/>
      <c r="H24" s="24"/>
    </row>
    <row r="25" spans="2:8">
      <c r="B25" s="29" t="s">
        <v>18</v>
      </c>
      <c r="E25" s="4"/>
      <c r="G25" s="4"/>
      <c r="H25" s="26"/>
    </row>
    <row r="26" spans="2:8">
      <c r="B26" s="33"/>
      <c r="E26" s="4"/>
      <c r="G26" s="4"/>
      <c r="H26" s="26"/>
    </row>
    <row r="27" spans="2:8">
      <c r="B27" s="33"/>
      <c r="E27" s="4"/>
      <c r="G27" s="4"/>
      <c r="H27" s="26"/>
    </row>
    <row r="28" spans="2:8">
      <c r="B28" s="33"/>
      <c r="E28" s="4"/>
      <c r="G28" s="4"/>
      <c r="H28" s="26"/>
    </row>
    <row r="29" spans="2:8">
      <c r="B29" s="25"/>
      <c r="E29" s="4"/>
      <c r="G29" s="4"/>
      <c r="H29" s="26"/>
    </row>
    <row r="30" spans="2:8">
      <c r="B30" s="27" t="s">
        <v>12</v>
      </c>
      <c r="E30" s="4"/>
      <c r="G30" s="4"/>
      <c r="H30" s="26"/>
    </row>
    <row r="31" spans="2:8">
      <c r="B31" s="25"/>
      <c r="E31" s="4"/>
      <c r="G31" s="4"/>
      <c r="H31" s="26"/>
    </row>
    <row r="32" spans="2:8" ht="39" customHeight="1">
      <c r="B32" s="25"/>
      <c r="E32" s="4"/>
      <c r="G32" s="4"/>
      <c r="H32" s="26"/>
    </row>
    <row r="33" spans="2:8">
      <c r="B33" s="25" t="s">
        <v>13</v>
      </c>
      <c r="C33" s="21"/>
      <c r="D33" s="21"/>
      <c r="E33" s="21"/>
      <c r="F33" s="21"/>
      <c r="G33" s="21"/>
      <c r="H33" s="26"/>
    </row>
    <row r="34" spans="2:8">
      <c r="B34" s="25"/>
      <c r="E34" s="4"/>
      <c r="G34" s="4"/>
      <c r="H34" s="26"/>
    </row>
    <row r="35" spans="2:8">
      <c r="B35" s="56" t="s">
        <v>14</v>
      </c>
      <c r="C35" s="57"/>
      <c r="D35" s="57"/>
      <c r="E35" s="57"/>
      <c r="F35" s="57"/>
      <c r="G35" s="57"/>
      <c r="H35" s="58"/>
    </row>
  </sheetData>
  <mergeCells count="11">
    <mergeCell ref="B35:H35"/>
    <mergeCell ref="B11:C11"/>
    <mergeCell ref="B12:C12"/>
    <mergeCell ref="B10:C10"/>
    <mergeCell ref="D12:G12"/>
    <mergeCell ref="D7:G8"/>
    <mergeCell ref="B7:C8"/>
    <mergeCell ref="B6:C6"/>
    <mergeCell ref="D6:G6"/>
    <mergeCell ref="B9:C9"/>
    <mergeCell ref="D9:G9"/>
  </mergeCells>
  <phoneticPr fontId="12" type="noConversion"/>
  <pageMargins left="0.25" right="0.25" top="0.75" bottom="0.75" header="0.3" footer="0.3"/>
  <pageSetup paperSize="9" scale="3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2025-09-16T03:23:50Z</cp:lastPrinted>
  <dcterms:created xsi:type="dcterms:W3CDTF">2023-07-26T09:32:00Z</dcterms:created>
  <dcterms:modified xsi:type="dcterms:W3CDTF">2025-11-06T05:23:53Z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