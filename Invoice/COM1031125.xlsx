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8_{CF9B7A83-F26F-4C97-9FD8-EEE5F1FA815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3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C15" i="1"/>
  <c r="B15" i="1"/>
  <c r="H48" i="1"/>
  <c r="E18" i="1" a="1"/>
  <c r="E18" i="1" s="1"/>
  <c r="E31" i="1" a="1"/>
  <c r="E31" i="1" s="1"/>
  <c r="H31" i="1" s="1"/>
  <c r="E25" i="1" a="1"/>
  <c r="E25" i="1" s="1"/>
  <c r="H25" i="1" s="1"/>
  <c r="C21" i="1" a="1"/>
  <c r="C21" i="1" s="1"/>
  <c r="E21" i="1" s="1" a="1"/>
  <c r="E21" i="1" s="1"/>
  <c r="C20" i="1" a="1"/>
  <c r="C20" i="1" s="1"/>
  <c r="E20" i="1" s="1" a="1"/>
  <c r="E20" i="1" s="1"/>
  <c r="C19" i="1" a="1"/>
  <c r="C19" i="1" s="1"/>
  <c r="E19" i="1" s="1" a="1"/>
  <c r="E19" i="1" s="1"/>
  <c r="C18" i="1" a="1"/>
  <c r="C18" i="1" s="1"/>
  <c r="H22" i="1"/>
  <c r="H23" i="1"/>
  <c r="H24" i="1"/>
  <c r="H26" i="1"/>
  <c r="H27" i="1"/>
  <c r="H28" i="1"/>
  <c r="H29" i="1"/>
  <c r="H30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G22" i="1"/>
  <c r="G23" i="1"/>
  <c r="G24" i="1"/>
  <c r="G26" i="1"/>
  <c r="G27" i="1"/>
  <c r="G28" i="1"/>
  <c r="G29" i="1"/>
  <c r="G30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E22" i="1" a="1"/>
  <c r="E22" i="1" s="1"/>
  <c r="E23" i="1" a="1"/>
  <c r="E23" i="1" s="1"/>
  <c r="E24" i="1" a="1"/>
  <c r="E24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E47" i="1" s="1" a="1"/>
  <c r="E47" i="1" s="1"/>
  <c r="G31" i="1" l="1"/>
  <c r="G25" i="1"/>
  <c r="H21" i="1"/>
  <c r="G21" i="1"/>
  <c r="G20" i="1"/>
  <c r="H20" i="1"/>
  <c r="G19" i="1"/>
  <c r="H19" i="1"/>
  <c r="G18" i="1"/>
  <c r="H18" i="1"/>
  <c r="G47" i="1"/>
  <c r="H4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<sst xmlns="http://schemas.openxmlformats.org/spreadsheetml/2006/main" count="122" uniqueCount="63">
  <si>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</si>
  <si>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</si>
  <si>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</si>
  <si>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</si>
  <si>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</si>
  <si>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</si>
  <si>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</si>
  <si>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</si>
  <si>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</si>
  <si>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</si>
  <si>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</si>
  <si>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</si>
  <si>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</si>
  <si>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</si>
  <si>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</si>
  <si>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</si>
  <si>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</si>
  <si>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</si>
  <si>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</si>
  <si>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</si>
  <si>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</si>
  <si>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</si>
  <si>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</si>
  <si>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No</t>
  </si>
  <si>
    <t>Titles</t>
  </si>
  <si>
    <t>Qty</t>
  </si>
  <si>
    <t>Sent</t>
  </si>
  <si>
    <t>Note</t>
  </si>
  <si>
    <t>Young Learners Classic Readers</t>
  </si>
  <si>
    <t>[YLCR Level 1-1] The Town Mouse and the Country Mouse Leveled Reader</t>
  </si>
  <si>
    <t>[YLCR Level 1-2] Hansel and Gretel Leveled Reader</t>
  </si>
  <si>
    <t>[YLCR Level 1-3] The Brave Tin Soldier Leveled Reader</t>
  </si>
  <si>
    <t>[YLCR Level 1-4] Noah's Ark Leveled Reader</t>
  </si>
  <si>
    <t>[YLCR Level 1-5] Bellerophon and Pegasus Leveled Reader</t>
  </si>
  <si>
    <t>[YLCR Level 1-6] How Red Bird Got His Color Leveled Reader</t>
  </si>
  <si>
    <t>[YLCR Level 1-7] The Three Goats Leveled Reader</t>
  </si>
  <si>
    <t>[YLCR Level 1-8] Two Frogs Leveled Reader</t>
  </si>
  <si>
    <t>[YLCR Level 1-9] The Three Little Pigs Leveled Reader</t>
  </si>
  <si>
    <t>[YLCR Level 1-10] The Selfish Giant Leveled Reader</t>
  </si>
  <si>
    <t>[YLCR Level 2-1] The Fir Tree Leveled Reader</t>
  </si>
  <si>
    <t>[YLCR Level 2-2] The Elves and the Shoemaker Leveled Reader</t>
  </si>
  <si>
    <t>[YLCR Level 2-3] How Bear Lost His Tail Leveled Reader</t>
  </si>
  <si>
    <t>[YLCR Level 2-4] Sleeping Beauty Leveled Reader</t>
  </si>
  <si>
    <t>[YLCR Level 2-5] Jack and the Magic Beans Leveled Reader</t>
  </si>
  <si>
    <t>[YLCR Level 2-6] The Son Who Came Home Leveled Reader</t>
  </si>
  <si>
    <t>[YLCR Level 2-7] The Nutcracker Leveled Reader</t>
  </si>
  <si>
    <t>[YLCR Level 2-8] Puss in Boots Leveled Reader</t>
  </si>
  <si>
    <t>[YLCR Level 2-9] The Woodman and the Ax Leveled Reader</t>
  </si>
  <si>
    <t>[YLCR Level 2-10] The Trojan Horse Leveled Reader</t>
  </si>
  <si>
    <t>[YLCR Level 3-1] Cinderella Leveled Reader</t>
  </si>
  <si>
    <t>[YLCR Level 3-2] Ole-Luk-Oie: The Dream God Leveled Reader</t>
  </si>
  <si>
    <t>[YLCR Level 3-3] The Three Sillies Leveled Reader</t>
  </si>
  <si>
    <t>[YLCR Level 3-4] Daedalus and Icarus Leveled Reader</t>
  </si>
  <si>
    <t>[YLCR Level 3-5] The Magic Swan Leveled Reader</t>
  </si>
  <si>
    <t>[YLCR Level 3-6] The Three Bears Leveled Reader</t>
  </si>
  <si>
    <t>[YLCR Level 3-7] Heidi Leveled Reader</t>
  </si>
  <si>
    <t>[YLCR Level 3-8] Hans Brinker Leveled Reader</t>
  </si>
  <si>
    <t>[YLCR Level 3-9] Diamonds and Toads Leveled Reader</t>
  </si>
  <si>
    <t>[YLCR Level 3-10] The Nightingale and the Rose Leveled Reader</t>
  </si>
  <si>
    <t>[YLCR Level 1-4] Noah’s Ark Leveled Reader</t>
  </si>
  <si>
    <t>COM1031125</t>
  </si>
  <si>
    <t>Ms. Stella Prancisca - PT Akses Media Lintas Asia</t>
  </si>
  <si>
    <t>Jl. Prof. Dr. H Jl. Profesor Dokter H. Hadari Nawawi, Bansir Laut, Kec. Pontianak Tenggara, Kota Pontianak, Kalimantan Barat 78124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</si>
</sst>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7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1B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9" fontId="1" fillId="0" borderId="1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1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0" fontId="15" fillId="0" borderId="23" xfId="0" applyFont="1" applyBorder="1" applyAlignment="1">
      <alignment horizontal="left" vertical="center" wrapText="1" indent="1" readingOrder="1"/>
    </xf>
    <xf numFmtId="0" fontId="14" fillId="0" borderId="23" xfId="0" applyFont="1" applyBorder="1" applyAlignment="1">
      <alignment horizontal="left" vertical="center" wrapText="1" indent="1" readingOrder="1"/>
    </xf>
    <xf numFmtId="1" fontId="13" fillId="0" borderId="24" xfId="0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55</xdr:row>
      <xdr:rowOff>168088</xdr:rowOff>
    </xdr:from>
    <xdr:to>
      <xdr:col>1</xdr:col>
      <xdr:colOff>1356518</xdr:colOff>
      <xdr:row>59</xdr:row>
      <xdr:rowOff>68869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1"/>
  <sheetViews>
    <sheetView tabSelected="1" topLeftCell="A3" zoomScale="85" zoomScaleNormal="85" workbookViewId="0">
      <selection activeCell="F14" sqref="F14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D5" s="40" t="s">
        <v>15</v>
      </c>
      <c r="E5" s="33" t="s">
        <v>60</v>
      </c>
      <c r="F5" s="40" t="s">
        <v>1</v>
      </c>
      <c r="G5" s="39">
        <v>45788</v>
      </c>
    </row>
    <row r="6" spans="1:8">
      <c r="B6" s="56" t="s">
        <v>2</v>
      </c>
      <c r="C6" s="57"/>
      <c r="D6" s="46" t="s">
        <v>3</v>
      </c>
      <c r="E6" s="46"/>
      <c r="F6" s="46"/>
      <c r="G6" s="46"/>
      <c r="H6" s="16"/>
    </row>
    <row r="7" spans="1:8" ht="15.75" customHeight="1">
      <c r="B7" s="55" t="s">
        <v>61</v>
      </c>
      <c r="C7" s="55"/>
      <c r="D7" s="52" t="s">
        <v>62</v>
      </c>
      <c r="E7" s="53"/>
      <c r="F7" s="53"/>
      <c r="G7" s="53"/>
      <c r="H7" s="16"/>
    </row>
    <row r="8" spans="1:8">
      <c r="B8" s="55"/>
      <c r="C8" s="55"/>
      <c r="D8" s="54"/>
      <c r="E8" s="55"/>
      <c r="F8" s="55"/>
      <c r="G8" s="55"/>
      <c r="H8" s="16"/>
    </row>
    <row r="9" spans="1:8">
      <c r="B9" s="58" t="s">
        <v>4</v>
      </c>
      <c r="C9" s="59"/>
      <c r="D9" s="46" t="s">
        <v>5</v>
      </c>
      <c r="E9" s="46"/>
      <c r="F9" s="46"/>
      <c r="G9" s="60"/>
      <c r="H9" s="16"/>
    </row>
    <row r="10" spans="1:8">
      <c r="B10" s="48"/>
      <c r="C10" s="48"/>
      <c r="D10" s="30"/>
      <c r="E10"/>
      <c r="F10"/>
      <c r="G10" s="31"/>
      <c r="H10" s="16"/>
    </row>
    <row r="11" spans="1:8">
      <c r="B11" s="46" t="s">
        <v>6</v>
      </c>
      <c r="C11" s="46"/>
      <c r="D11" s="30"/>
      <c r="E11"/>
      <c r="F11"/>
      <c r="G11" s="31"/>
      <c r="H11" s="16"/>
    </row>
    <row r="12" spans="1:8">
      <c r="B12" s="47">
        <v>85750966821</v>
      </c>
      <c r="C12" s="47"/>
      <c r="D12" s="49"/>
      <c r="E12" s="50"/>
      <c r="F12" s="50"/>
      <c r="G12" s="51"/>
      <c r="H12" s="16"/>
    </row>
    <row r="13" spans="1:8" ht="15.75" customHeight="1">
      <c r="B13" s="11"/>
      <c r="C13" s="12"/>
      <c r="D13" s="12"/>
      <c r="E13" s="13"/>
      <c r="F13" s="12"/>
      <c r="G13" s="13"/>
      <c r="H13" s="16"/>
    </row>
    <row r="14" spans="1:8">
      <c r="B14" s="17" t="s">
        <v>7</v>
      </c>
      <c r="C14" s="18" t="s">
        <v>21</v>
      </c>
      <c r="D14" s="18" t="s">
        <v>8</v>
      </c>
      <c r="E14" s="14"/>
      <c r="F14" s="12"/>
      <c r="G14" s="15"/>
      <c r="H14" s="16"/>
    </row>
    <row r="15" spans="1:8">
      <c r="B15" s="19">
        <f>SUM(H18:H47)</f>
        <v>3194280</v>
      </c>
      <c r="C15" s="20">
        <f>COUNT(D18:D47)</f>
        <v>30</v>
      </c>
      <c r="D15" s="20">
        <f>SUM(D18:D47)</f>
        <v>30</v>
      </c>
      <c r="E15" s="13"/>
      <c r="F15" s="12"/>
      <c r="G15" s="13"/>
      <c r="H15" s="16"/>
    </row>
    <row r="16" spans="1:8">
      <c r="B16" s="11"/>
      <c r="C16" s="12"/>
      <c r="D16" s="12"/>
      <c r="E16" s="13"/>
      <c r="F16" s="12"/>
      <c r="G16" s="13"/>
      <c r="H16" s="16"/>
    </row>
    <row r="17" spans="2:8">
      <c r="B17" s="64" t="s">
        <v>22</v>
      </c>
      <c r="C17" s="35" t="s">
        <v>9</v>
      </c>
      <c r="D17" s="35" t="s">
        <v>10</v>
      </c>
      <c r="E17" s="35" t="s">
        <v>16</v>
      </c>
      <c r="F17" s="35" t="s">
        <v>11</v>
      </c>
      <c r="G17" s="35" t="s">
        <v>17</v>
      </c>
      <c r="H17" s="36" t="s">
        <v>19</v>
      </c>
    </row>
    <row r="18" spans="2:8">
      <c r="B18" s="65" t="s">
        <v>29</v>
      </c>
      <c r="C18" s="63" t="str" cm="1">
        <f t="array" ref="C18">_xlfn.REGEXEXTRACT(_xlfn.WEBSERVICE("https://seg-server.vercel.app/api/books/isbn/"&amp;B18), "\d+")</f>
        <v>9781599666327</v>
      </c>
      <c r="D18" s="41">
        <v>1</v>
      </c>
      <c r="E18" s="38" cm="1">
        <f t="array" ref="E18">_xlfn.NUMBERVALUE(_xlfn.REGEXEXTRACT(_xlfn.WEBSERVICE("https://seg-server.vercel.app/api/books/price/"&amp;C18), "\d+"))</f>
        <v>106476</v>
      </c>
      <c r="F18" s="35"/>
      <c r="G18" s="37">
        <f t="shared" ref="G18:G46" si="0">(E18-(E18*F18))</f>
        <v>106476</v>
      </c>
      <c r="H18" s="37">
        <f t="shared" ref="H18:H46" si="1">(E18-(E18*F18))*(D18)</f>
        <v>106476</v>
      </c>
    </row>
    <row r="19" spans="2:8">
      <c r="B19" s="65" t="s">
        <v>30</v>
      </c>
      <c r="C19" s="63" t="str" cm="1">
        <f t="array" ref="C19">_xlfn.REGEXEXTRACT(_xlfn.WEBSERVICE("https://seg-server.vercel.app/api/books/isbn/"&amp;B19), "\d+")</f>
        <v>9781599666334</v>
      </c>
      <c r="D19" s="41">
        <v>1</v>
      </c>
      <c r="E19" s="38" cm="1">
        <f t="array" ref="E19">_xlfn.NUMBERVALUE(_xlfn.REGEXEXTRACT(_xlfn.WEBSERVICE("https://seg-server.vercel.app/api/books/price/"&amp;C19), "\d+"))</f>
        <v>106476</v>
      </c>
      <c r="F19" s="35"/>
      <c r="G19" s="37">
        <f t="shared" si="0"/>
        <v>106476</v>
      </c>
      <c r="H19" s="37">
        <f t="shared" si="1"/>
        <v>106476</v>
      </c>
    </row>
    <row r="20" spans="2:8">
      <c r="B20" s="65" t="s">
        <v>31</v>
      </c>
      <c r="C20" s="63" t="str" cm="1">
        <f t="array" ref="C20">_xlfn.REGEXEXTRACT(_xlfn.WEBSERVICE("https://seg-server.vercel.app/api/books/isbn/"&amp;B20), "\d+")</f>
        <v>9781599666341</v>
      </c>
      <c r="D20" s="41">
        <v>1</v>
      </c>
      <c r="E20" s="38" cm="1">
        <f t="array" ref="E20">_xlfn.NUMBERVALUE(_xlfn.REGEXEXTRACT(_xlfn.WEBSERVICE("https://seg-server.vercel.app/api/books/price/"&amp;C20), "\d+"))</f>
        <v>106476</v>
      </c>
      <c r="F20" s="35"/>
      <c r="G20" s="37">
        <f t="shared" si="0"/>
        <v>106476</v>
      </c>
      <c r="H20" s="37">
        <f t="shared" si="1"/>
        <v>106476</v>
      </c>
    </row>
    <row r="21" spans="2:8">
      <c r="B21" s="65" t="s">
        <v>59</v>
      </c>
      <c r="C21" s="63" t="str" cm="1">
        <f t="array" ref="C21">_xlfn.REGEXEXTRACT(_xlfn.WEBSERVICE("https://seg-server.vercel.app/api/books/isbn/"&amp;B21), "\d+")</f>
        <v>9781599666358</v>
      </c>
      <c r="D21" s="41">
        <v>1</v>
      </c>
      <c r="E21" s="38" cm="1">
        <f t="array" ref="E21">_xlfn.NUMBERVALUE(_xlfn.REGEXEXTRACT(_xlfn.WEBSERVICE("https://seg-server.vercel.app/api/books/price/"&amp;C21), "\d+"))</f>
        <v>106476</v>
      </c>
      <c r="F21" s="35"/>
      <c r="G21" s="37">
        <f t="shared" si="0"/>
        <v>106476</v>
      </c>
      <c r="H21" s="37">
        <f t="shared" si="1"/>
        <v>106476</v>
      </c>
    </row>
    <row r="22" spans="2:8">
      <c r="B22" s="65" t="s">
        <v>33</v>
      </c>
      <c r="C22" s="63" t="str" cm="1">
        <f t="array" ref="C22">_xlfn.REGEXEXTRACT(_xlfn.WEBSERVICE("https://seg-server.vercel.app/api/books/isbn/"&amp;B22), "\d+")</f>
        <v>9781599666365</v>
      </c>
      <c r="D22" s="41">
        <v>1</v>
      </c>
      <c r="E22" s="38" cm="1">
        <f t="array" ref="E22">_xlfn.NUMBERVALUE(_xlfn.REGEXEXTRACT(_xlfn.WEBSERVICE("https://seg-server.vercel.app/api/books/price/"&amp;C22), "\d+"))</f>
        <v>106476</v>
      </c>
      <c r="F22" s="35"/>
      <c r="G22" s="37">
        <f t="shared" si="0"/>
        <v>106476</v>
      </c>
      <c r="H22" s="37">
        <f t="shared" si="1"/>
        <v>106476</v>
      </c>
    </row>
    <row r="23" spans="2:8">
      <c r="B23" s="65" t="s">
        <v>34</v>
      </c>
      <c r="C23" s="63" t="str" cm="1">
        <f t="array" ref="C23">_xlfn.REGEXEXTRACT(_xlfn.WEBSERVICE("https://seg-server.vercel.app/api/books/isbn/"&amp;B23), "\d+")</f>
        <v>9781599666372</v>
      </c>
      <c r="D23" s="41">
        <v>1</v>
      </c>
      <c r="E23" s="38" cm="1">
        <f t="array" ref="E23">_xlfn.NUMBERVALUE(_xlfn.REGEXEXTRACT(_xlfn.WEBSERVICE("https://seg-server.vercel.app/api/books/price/"&amp;C23), "\d+"))</f>
        <v>106476</v>
      </c>
      <c r="F23" s="35"/>
      <c r="G23" s="37">
        <f t="shared" si="0"/>
        <v>106476</v>
      </c>
      <c r="H23" s="37">
        <f t="shared" si="1"/>
        <v>106476</v>
      </c>
    </row>
    <row r="24" spans="2:8">
      <c r="B24" s="65" t="s">
        <v>35</v>
      </c>
      <c r="C24" s="63" t="str" cm="1">
        <f t="array" ref="C24">_xlfn.REGEXEXTRACT(_xlfn.WEBSERVICE("https://seg-server.vercel.app/api/books/isbn/"&amp;B24), "\d+")</f>
        <v>9781599666389</v>
      </c>
      <c r="D24" s="41">
        <v>1</v>
      </c>
      <c r="E24" s="38" cm="1">
        <f t="array" ref="E24">_xlfn.NUMBERVALUE(_xlfn.REGEXEXTRACT(_xlfn.WEBSERVICE("https://seg-server.vercel.app/api/books/price/"&amp;C24), "\d+"))</f>
        <v>106476</v>
      </c>
      <c r="F24" s="35"/>
      <c r="G24" s="37">
        <f t="shared" si="0"/>
        <v>106476</v>
      </c>
      <c r="H24" s="37">
        <f t="shared" si="1"/>
        <v>106476</v>
      </c>
    </row>
    <row r="25" spans="2:8">
      <c r="B25" s="65" t="s">
        <v>36</v>
      </c>
      <c r="C25" s="63" t="str" cm="1">
        <f t="array" ref="C25">_xlfn.REGEXEXTRACT(_xlfn.WEBSERVICE("https://seg-server.vercel.app/api/books/isbn/"&amp;B25), "\d+")</f>
        <v>9781599666396</v>
      </c>
      <c r="D25" s="41">
        <v>1</v>
      </c>
      <c r="E25" s="38" cm="1">
        <f t="array" ref="E25">_xlfn.NUMBERVALUE(_xlfn.REGEXEXTRACT(_xlfn.WEBSERVICE("https://seg-server.vercel.app/api/books/price/"&amp;C25), "\d+"))</f>
        <v>106476</v>
      </c>
      <c r="F25" s="35"/>
      <c r="G25" s="37">
        <f t="shared" si="0"/>
        <v>106476</v>
      </c>
      <c r="H25" s="37">
        <f t="shared" si="1"/>
        <v>106476</v>
      </c>
    </row>
    <row r="26" spans="2:8">
      <c r="B26" s="65" t="s">
        <v>37</v>
      </c>
      <c r="C26" s="63" t="str" cm="1">
        <f t="array" ref="C26">_xlfn.REGEXEXTRACT(_xlfn.WEBSERVICE("https://seg-server.vercel.app/api/books/isbn/"&amp;B26), "\d+")</f>
        <v>9781599666402</v>
      </c>
      <c r="D26" s="41">
        <v>1</v>
      </c>
      <c r="E26" s="38" cm="1">
        <f t="array" ref="E26">_xlfn.NUMBERVALUE(_xlfn.REGEXEXTRACT(_xlfn.WEBSERVICE("https://seg-server.vercel.app/api/books/price/"&amp;C26), "\d+"))</f>
        <v>106476</v>
      </c>
      <c r="F26" s="35"/>
      <c r="G26" s="37">
        <f t="shared" si="0"/>
        <v>106476</v>
      </c>
      <c r="H26" s="37">
        <f t="shared" si="1"/>
        <v>106476</v>
      </c>
    </row>
    <row r="27" spans="2:8">
      <c r="B27" s="65" t="s">
        <v>38</v>
      </c>
      <c r="C27" s="63" t="str" cm="1">
        <f t="array" ref="C27">_xlfn.REGEXEXTRACT(_xlfn.WEBSERVICE("https://seg-server.vercel.app/api/books/isbn/"&amp;B27), "\d+")</f>
        <v>9781599666419</v>
      </c>
      <c r="D27" s="41">
        <v>1</v>
      </c>
      <c r="E27" s="38" cm="1">
        <f t="array" ref="E27">_xlfn.NUMBERVALUE(_xlfn.REGEXEXTRACT(_xlfn.WEBSERVICE("https://seg-server.vercel.app/api/books/price/"&amp;C27), "\d+"))</f>
        <v>106476</v>
      </c>
      <c r="F27" s="35"/>
      <c r="G27" s="37">
        <f t="shared" si="0"/>
        <v>106476</v>
      </c>
      <c r="H27" s="37">
        <f t="shared" si="1"/>
        <v>106476</v>
      </c>
    </row>
    <row r="28" spans="2:8">
      <c r="B28" s="65" t="s">
        <v>39</v>
      </c>
      <c r="C28" s="63" t="str" cm="1">
        <f t="array" ref="C28">_xlfn.REGEXEXTRACT(_xlfn.WEBSERVICE("https://seg-server.vercel.app/api/books/isbn/"&amp;B28), "\d+")</f>
        <v>9781599666426</v>
      </c>
      <c r="D28" s="41">
        <v>1</v>
      </c>
      <c r="E28" s="38" cm="1">
        <f t="array" ref="E28">_xlfn.NUMBERVALUE(_xlfn.REGEXEXTRACT(_xlfn.WEBSERVICE("https://seg-server.vercel.app/api/books/price/"&amp;C28), "\d+"))</f>
        <v>106476</v>
      </c>
      <c r="F28" s="35"/>
      <c r="G28" s="37">
        <f t="shared" si="0"/>
        <v>106476</v>
      </c>
      <c r="H28" s="37">
        <f t="shared" si="1"/>
        <v>106476</v>
      </c>
    </row>
    <row r="29" spans="2:8">
      <c r="B29" s="65" t="s">
        <v>40</v>
      </c>
      <c r="C29" s="63" t="str" cm="1">
        <f t="array" ref="C29">_xlfn.REGEXEXTRACT(_xlfn.WEBSERVICE("https://seg-server.vercel.app/api/books/isbn/"&amp;B29), "\d+")</f>
        <v>9781599666433</v>
      </c>
      <c r="D29" s="41">
        <v>1</v>
      </c>
      <c r="E29" s="38" cm="1">
        <f t="array" ref="E29">_xlfn.NUMBERVALUE(_xlfn.REGEXEXTRACT(_xlfn.WEBSERVICE("https://seg-server.vercel.app/api/books/price/"&amp;C29), "\d+"))</f>
        <v>106476</v>
      </c>
      <c r="F29" s="35"/>
      <c r="G29" s="37">
        <f t="shared" si="0"/>
        <v>106476</v>
      </c>
      <c r="H29" s="37">
        <f t="shared" si="1"/>
        <v>106476</v>
      </c>
    </row>
    <row r="30" spans="2:8">
      <c r="B30" s="65" t="s">
        <v>41</v>
      </c>
      <c r="C30" s="63" t="str" cm="1">
        <f t="array" ref="C30">_xlfn.REGEXEXTRACT(_xlfn.WEBSERVICE("https://seg-server.vercel.app/api/books/isbn/"&amp;B30), "\d+")</f>
        <v>9781599666440</v>
      </c>
      <c r="D30" s="41">
        <v>1</v>
      </c>
      <c r="E30" s="38" cm="1">
        <f t="array" ref="E30">_xlfn.NUMBERVALUE(_xlfn.REGEXEXTRACT(_xlfn.WEBSERVICE("https://seg-server.vercel.app/api/books/price/"&amp;C30), "\d+"))</f>
        <v>106476</v>
      </c>
      <c r="F30" s="35"/>
      <c r="G30" s="37">
        <f t="shared" si="0"/>
        <v>106476</v>
      </c>
      <c r="H30" s="37">
        <f t="shared" si="1"/>
        <v>106476</v>
      </c>
    </row>
    <row r="31" spans="2:8">
      <c r="B31" s="65" t="s">
        <v>42</v>
      </c>
      <c r="C31" s="63" t="str" cm="1">
        <f t="array" ref="C31">_xlfn.REGEXEXTRACT(_xlfn.WEBSERVICE("https://seg-server.vercel.app/api/books/isbn/"&amp;B31), "\d+")</f>
        <v>9781599666457</v>
      </c>
      <c r="D31" s="41">
        <v>1</v>
      </c>
      <c r="E31" s="38" cm="1">
        <f t="array" ref="E31">_xlfn.NUMBERVALUE(_xlfn.REGEXEXTRACT(_xlfn.WEBSERVICE("https://seg-server.vercel.app/api/books/price/"&amp;C31), "\d+"))</f>
        <v>106476</v>
      </c>
      <c r="F31" s="35"/>
      <c r="G31" s="37">
        <f t="shared" si="0"/>
        <v>106476</v>
      </c>
      <c r="H31" s="37">
        <f t="shared" si="1"/>
        <v>106476</v>
      </c>
    </row>
    <row r="32" spans="2:8">
      <c r="B32" s="65" t="s">
        <v>43</v>
      </c>
      <c r="C32" s="63" t="str" cm="1">
        <f t="array" ref="C32">_xlfn.REGEXEXTRACT(_xlfn.WEBSERVICE("https://seg-server.vercel.app/api/books/isbn/"&amp;B32), "\d+")</f>
        <v>9781599666464</v>
      </c>
      <c r="D32" s="41">
        <v>1</v>
      </c>
      <c r="E32" s="38" cm="1">
        <f t="array" ref="E32">_xlfn.NUMBERVALUE(_xlfn.REGEXEXTRACT(_xlfn.WEBSERVICE("https://seg-server.vercel.app/api/books/price/"&amp;C32), "\d+"))</f>
        <v>106476</v>
      </c>
      <c r="F32" s="35"/>
      <c r="G32" s="37">
        <f t="shared" si="0"/>
        <v>106476</v>
      </c>
      <c r="H32" s="37">
        <f t="shared" si="1"/>
        <v>106476</v>
      </c>
    </row>
    <row r="33" spans="2:8">
      <c r="B33" s="65" t="s">
        <v>44</v>
      </c>
      <c r="C33" s="63" t="str" cm="1">
        <f t="array" ref="C33">_xlfn.REGEXEXTRACT(_xlfn.WEBSERVICE("https://seg-server.vercel.app/api/books/isbn/"&amp;B33), "\d+")</f>
        <v>9781599666471</v>
      </c>
      <c r="D33" s="41">
        <v>1</v>
      </c>
      <c r="E33" s="38" cm="1">
        <f t="array" ref="E33">_xlfn.NUMBERVALUE(_xlfn.REGEXEXTRACT(_xlfn.WEBSERVICE("https://seg-server.vercel.app/api/books/price/"&amp;C33), "\d+"))</f>
        <v>106476</v>
      </c>
      <c r="F33" s="35"/>
      <c r="G33" s="37">
        <f t="shared" si="0"/>
        <v>106476</v>
      </c>
      <c r="H33" s="37">
        <f t="shared" si="1"/>
        <v>106476</v>
      </c>
    </row>
    <row r="34" spans="2:8">
      <c r="B34" s="65" t="s">
        <v>45</v>
      </c>
      <c r="C34" s="63" t="str" cm="1">
        <f t="array" ref="C34">_xlfn.REGEXEXTRACT(_xlfn.WEBSERVICE("https://seg-server.vercel.app/api/books/isbn/"&amp;B34), "\d+")</f>
        <v>9781599666488</v>
      </c>
      <c r="D34" s="41">
        <v>1</v>
      </c>
      <c r="E34" s="38" cm="1">
        <f t="array" ref="E34">_xlfn.NUMBERVALUE(_xlfn.REGEXEXTRACT(_xlfn.WEBSERVICE("https://seg-server.vercel.app/api/books/price/"&amp;C34), "\d+"))</f>
        <v>106476</v>
      </c>
      <c r="F34" s="35"/>
      <c r="G34" s="37">
        <f t="shared" si="0"/>
        <v>106476</v>
      </c>
      <c r="H34" s="37">
        <f t="shared" si="1"/>
        <v>106476</v>
      </c>
    </row>
    <row r="35" spans="2:8">
      <c r="B35" s="65" t="s">
        <v>46</v>
      </c>
      <c r="C35" s="63" t="str" cm="1">
        <f t="array" ref="C35">_xlfn.REGEXEXTRACT(_xlfn.WEBSERVICE("https://seg-server.vercel.app/api/books/isbn/"&amp;B35), "\d+")</f>
        <v>9781599666495</v>
      </c>
      <c r="D35" s="41">
        <v>1</v>
      </c>
      <c r="E35" s="38" cm="1">
        <f t="array" ref="E35">_xlfn.NUMBERVALUE(_xlfn.REGEXEXTRACT(_xlfn.WEBSERVICE("https://seg-server.vercel.app/api/books/price/"&amp;C35), "\d+"))</f>
        <v>106476</v>
      </c>
      <c r="F35" s="35"/>
      <c r="G35" s="37">
        <f t="shared" si="0"/>
        <v>106476</v>
      </c>
      <c r="H35" s="37">
        <f t="shared" si="1"/>
        <v>106476</v>
      </c>
    </row>
    <row r="36" spans="2:8">
      <c r="B36" s="65" t="s">
        <v>47</v>
      </c>
      <c r="C36" s="63" t="str" cm="1">
        <f t="array" ref="C36">_xlfn.REGEXEXTRACT(_xlfn.WEBSERVICE("https://seg-server.vercel.app/api/books/isbn/"&amp;B36), "\d+")</f>
        <v>9781599666501</v>
      </c>
      <c r="D36" s="41">
        <v>1</v>
      </c>
      <c r="E36" s="38" cm="1">
        <f t="array" ref="E36">_xlfn.NUMBERVALUE(_xlfn.REGEXEXTRACT(_xlfn.WEBSERVICE("https://seg-server.vercel.app/api/books/price/"&amp;C36), "\d+"))</f>
        <v>106476</v>
      </c>
      <c r="F36" s="35"/>
      <c r="G36" s="37">
        <f t="shared" si="0"/>
        <v>106476</v>
      </c>
      <c r="H36" s="37">
        <f t="shared" si="1"/>
        <v>106476</v>
      </c>
    </row>
    <row r="37" spans="2:8">
      <c r="B37" s="65" t="s">
        <v>48</v>
      </c>
      <c r="C37" s="63" t="str" cm="1">
        <f t="array" ref="C37">_xlfn.REGEXEXTRACT(_xlfn.WEBSERVICE("https://seg-server.vercel.app/api/books/isbn/"&amp;B37), "\d+")</f>
        <v>9781599666518</v>
      </c>
      <c r="D37" s="41">
        <v>1</v>
      </c>
      <c r="E37" s="38" cm="1">
        <f t="array" ref="E37">_xlfn.NUMBERVALUE(_xlfn.REGEXEXTRACT(_xlfn.WEBSERVICE("https://seg-server.vercel.app/api/books/price/"&amp;C37), "\d+"))</f>
        <v>106476</v>
      </c>
      <c r="F37" s="35"/>
      <c r="G37" s="37">
        <f t="shared" si="0"/>
        <v>106476</v>
      </c>
      <c r="H37" s="37">
        <f t="shared" si="1"/>
        <v>106476</v>
      </c>
    </row>
    <row r="38" spans="2:8">
      <c r="B38" s="65" t="s">
        <v>49</v>
      </c>
      <c r="C38" s="63" t="str" cm="1">
        <f t="array" ref="C38">_xlfn.REGEXEXTRACT(_xlfn.WEBSERVICE("https://seg-server.vercel.app/api/books/isbn/"&amp;B38), "\d+")</f>
        <v>9781599666525</v>
      </c>
      <c r="D38" s="41">
        <v>1</v>
      </c>
      <c r="E38" s="38" cm="1">
        <f t="array" ref="E38">_xlfn.NUMBERVALUE(_xlfn.REGEXEXTRACT(_xlfn.WEBSERVICE("https://seg-server.vercel.app/api/books/price/"&amp;C38), "\d+"))</f>
        <v>106476</v>
      </c>
      <c r="F38" s="35"/>
      <c r="G38" s="37">
        <f t="shared" si="0"/>
        <v>106476</v>
      </c>
      <c r="H38" s="37">
        <f t="shared" si="1"/>
        <v>106476</v>
      </c>
    </row>
    <row r="39" spans="2:8">
      <c r="B39" s="65" t="s">
        <v>50</v>
      </c>
      <c r="C39" s="63" t="str" cm="1">
        <f t="array" ref="C39">_xlfn.REGEXEXTRACT(_xlfn.WEBSERVICE("https://seg-server.vercel.app/api/books/isbn/"&amp;B39), "\d+")</f>
        <v>9781599666532</v>
      </c>
      <c r="D39" s="41">
        <v>1</v>
      </c>
      <c r="E39" s="38" cm="1">
        <f t="array" ref="E39">_xlfn.NUMBERVALUE(_xlfn.REGEXEXTRACT(_xlfn.WEBSERVICE("https://seg-server.vercel.app/api/books/price/"&amp;C39), "\d+"))</f>
        <v>106476</v>
      </c>
      <c r="F39" s="35"/>
      <c r="G39" s="37">
        <f t="shared" si="0"/>
        <v>106476</v>
      </c>
      <c r="H39" s="37">
        <f t="shared" si="1"/>
        <v>106476</v>
      </c>
    </row>
    <row r="40" spans="2:8">
      <c r="B40" s="65" t="s">
        <v>51</v>
      </c>
      <c r="C40" s="63" t="str" cm="1">
        <f t="array" ref="C40">_xlfn.REGEXEXTRACT(_xlfn.WEBSERVICE("https://seg-server.vercel.app/api/books/isbn/"&amp;B40), "\d+")</f>
        <v>9781599666549</v>
      </c>
      <c r="D40" s="41">
        <v>1</v>
      </c>
      <c r="E40" s="38" cm="1">
        <f t="array" ref="E40">_xlfn.NUMBERVALUE(_xlfn.REGEXEXTRACT(_xlfn.WEBSERVICE("https://seg-server.vercel.app/api/books/price/"&amp;C40), "\d+"))</f>
        <v>106476</v>
      </c>
      <c r="F40" s="35"/>
      <c r="G40" s="37">
        <f t="shared" si="0"/>
        <v>106476</v>
      </c>
      <c r="H40" s="37">
        <f t="shared" si="1"/>
        <v>106476</v>
      </c>
    </row>
    <row r="41" spans="2:8">
      <c r="B41" s="65" t="s">
        <v>52</v>
      </c>
      <c r="C41" s="63" t="str" cm="1">
        <f t="array" ref="C41">_xlfn.REGEXEXTRACT(_xlfn.WEBSERVICE("https://seg-server.vercel.app/api/books/isbn/"&amp;B41), "\d+")</f>
        <v>9781599666556</v>
      </c>
      <c r="D41" s="41">
        <v>1</v>
      </c>
      <c r="E41" s="38" cm="1">
        <f t="array" ref="E41">_xlfn.NUMBERVALUE(_xlfn.REGEXEXTRACT(_xlfn.WEBSERVICE("https://seg-server.vercel.app/api/books/price/"&amp;C41), "\d+"))</f>
        <v>106476</v>
      </c>
      <c r="F41" s="35"/>
      <c r="G41" s="37">
        <f t="shared" si="0"/>
        <v>106476</v>
      </c>
      <c r="H41" s="37">
        <f t="shared" si="1"/>
        <v>106476</v>
      </c>
    </row>
    <row r="42" spans="2:8">
      <c r="B42" s="65" t="s">
        <v>53</v>
      </c>
      <c r="C42" s="63" t="str" cm="1">
        <f t="array" ref="C42">_xlfn.REGEXEXTRACT(_xlfn.WEBSERVICE("https://seg-server.vercel.app/api/books/isbn/"&amp;B42), "\d+")</f>
        <v>9781599666563</v>
      </c>
      <c r="D42" s="41">
        <v>1</v>
      </c>
      <c r="E42" s="38" cm="1">
        <f t="array" ref="E42">_xlfn.NUMBERVALUE(_xlfn.REGEXEXTRACT(_xlfn.WEBSERVICE("https://seg-server.vercel.app/api/books/price/"&amp;C42), "\d+"))</f>
        <v>106476</v>
      </c>
      <c r="F42" s="35"/>
      <c r="G42" s="37">
        <f t="shared" si="0"/>
        <v>106476</v>
      </c>
      <c r="H42" s="37">
        <f t="shared" si="1"/>
        <v>106476</v>
      </c>
    </row>
    <row r="43" spans="2:8">
      <c r="B43" s="65" t="s">
        <v>54</v>
      </c>
      <c r="C43" s="63" t="str" cm="1">
        <f t="array" ref="C43">_xlfn.REGEXEXTRACT(_xlfn.WEBSERVICE("https://seg-server.vercel.app/api/books/isbn/"&amp;B43), "\d+")</f>
        <v>9781599666570</v>
      </c>
      <c r="D43" s="41">
        <v>1</v>
      </c>
      <c r="E43" s="38" cm="1">
        <f t="array" ref="E43">_xlfn.NUMBERVALUE(_xlfn.REGEXEXTRACT(_xlfn.WEBSERVICE("https://seg-server.vercel.app/api/books/price/"&amp;C43), "\d+"))</f>
        <v>106476</v>
      </c>
      <c r="F43" s="35"/>
      <c r="G43" s="37">
        <f t="shared" si="0"/>
        <v>106476</v>
      </c>
      <c r="H43" s="37">
        <f t="shared" si="1"/>
        <v>106476</v>
      </c>
    </row>
    <row r="44" spans="2:8">
      <c r="B44" s="65" t="s">
        <v>55</v>
      </c>
      <c r="C44" s="63" t="str" cm="1">
        <f t="array" ref="C44">_xlfn.REGEXEXTRACT(_xlfn.WEBSERVICE("https://seg-server.vercel.app/api/books/isbn/"&amp;B44), "\d+")</f>
        <v>9781599666587</v>
      </c>
      <c r="D44" s="41">
        <v>1</v>
      </c>
      <c r="E44" s="38" cm="1">
        <f t="array" ref="E44">_xlfn.NUMBERVALUE(_xlfn.REGEXEXTRACT(_xlfn.WEBSERVICE("https://seg-server.vercel.app/api/books/price/"&amp;C44), "\d+"))</f>
        <v>106476</v>
      </c>
      <c r="F44" s="35"/>
      <c r="G44" s="37">
        <f t="shared" si="0"/>
        <v>106476</v>
      </c>
      <c r="H44" s="37">
        <f t="shared" si="1"/>
        <v>106476</v>
      </c>
    </row>
    <row r="45" spans="2:8">
      <c r="B45" s="65" t="s">
        <v>56</v>
      </c>
      <c r="C45" s="63" t="str" cm="1">
        <f t="array" ref="C45">_xlfn.REGEXEXTRACT(_xlfn.WEBSERVICE("https://seg-server.vercel.app/api/books/isbn/"&amp;B45), "\d+")</f>
        <v>9781599666594</v>
      </c>
      <c r="D45" s="41">
        <v>1</v>
      </c>
      <c r="E45" s="38" cm="1">
        <f t="array" ref="E45">_xlfn.NUMBERVALUE(_xlfn.REGEXEXTRACT(_xlfn.WEBSERVICE("https://seg-server.vercel.app/api/books/price/"&amp;C45), "\d+"))</f>
        <v>106476</v>
      </c>
      <c r="F45" s="42"/>
      <c r="G45" s="37">
        <f t="shared" si="0"/>
        <v>106476</v>
      </c>
      <c r="H45" s="37">
        <f t="shared" si="1"/>
        <v>106476</v>
      </c>
    </row>
    <row r="46" spans="2:8">
      <c r="B46" s="65" t="s">
        <v>57</v>
      </c>
      <c r="C46" s="63" t="str" cm="1">
        <f t="array" ref="C46">_xlfn.REGEXEXTRACT(_xlfn.WEBSERVICE("https://seg-server.vercel.app/api/books/isbn/"&amp;B46), "\d+")</f>
        <v>9781599666600</v>
      </c>
      <c r="D46" s="41">
        <v>1</v>
      </c>
      <c r="E46" s="38" cm="1">
        <f t="array" ref="E46">_xlfn.NUMBERVALUE(_xlfn.REGEXEXTRACT(_xlfn.WEBSERVICE("https://seg-server.vercel.app/api/books/price/"&amp;C46), "\d+"))</f>
        <v>106476</v>
      </c>
      <c r="F46" s="42"/>
      <c r="G46" s="37">
        <f t="shared" si="0"/>
        <v>106476</v>
      </c>
      <c r="H46" s="37">
        <f t="shared" si="1"/>
        <v>106476</v>
      </c>
    </row>
    <row r="47" spans="2:8">
      <c r="B47" s="65" t="s">
        <v>58</v>
      </c>
      <c r="C47" s="63" t="str" cm="1">
        <f t="array" ref="C47">_xlfn.REGEXEXTRACT(_xlfn.WEBSERVICE("https://seg-server.vercel.app/api/books/isbn/"&amp;B47), "\d+")</f>
        <v>9781599666617</v>
      </c>
      <c r="D47" s="41">
        <v>1</v>
      </c>
      <c r="E47" s="38" cm="1">
        <f t="array" ref="E47">_xlfn.NUMBERVALUE(_xlfn.REGEXEXTRACT(_xlfn.WEBSERVICE("https://seg-server.vercel.app/api/books/price/"&amp;C47), "\d+"))</f>
        <v>106476</v>
      </c>
      <c r="F47" s="42"/>
      <c r="G47" s="37">
        <f t="shared" ref="G47" si="2">(E47-(E47*F47))</f>
        <v>106476</v>
      </c>
      <c r="H47" s="37">
        <f t="shared" ref="H47" si="3">(E47-(E47*F47))*(D47)</f>
        <v>106476</v>
      </c>
    </row>
    <row r="48" spans="2:8">
      <c r="G48" s="28" t="s">
        <v>20</v>
      </c>
      <c r="H48" s="34">
        <f>SUM(H18:H47)</f>
        <v>3194280</v>
      </c>
    </row>
    <row r="50" spans="2:8">
      <c r="B50" s="22"/>
      <c r="C50" s="23"/>
      <c r="D50" s="23"/>
      <c r="E50" s="23"/>
      <c r="F50" s="23"/>
      <c r="G50" s="23"/>
      <c r="H50" s="24"/>
    </row>
    <row r="51" spans="2:8">
      <c r="B51" s="29" t="s">
        <v>18</v>
      </c>
      <c r="E51" s="4"/>
      <c r="G51" s="4"/>
      <c r="H51" s="26"/>
    </row>
    <row r="52" spans="2:8">
      <c r="B52" s="32"/>
      <c r="E52" s="4"/>
      <c r="G52" s="4"/>
      <c r="H52" s="26"/>
    </row>
    <row r="53" spans="2:8">
      <c r="B53" s="32"/>
      <c r="E53" s="4"/>
      <c r="G53" s="4"/>
      <c r="H53" s="26"/>
    </row>
    <row r="54" spans="2:8">
      <c r="B54" s="32"/>
      <c r="E54" s="4"/>
      <c r="G54" s="4"/>
      <c r="H54" s="26"/>
    </row>
    <row r="55" spans="2:8">
      <c r="B55" s="25"/>
      <c r="E55" s="4"/>
      <c r="G55" s="4"/>
      <c r="H55" s="26"/>
    </row>
    <row r="56" spans="2:8">
      <c r="B56" s="27" t="s">
        <v>12</v>
      </c>
      <c r="E56" s="4"/>
      <c r="G56" s="4"/>
      <c r="H56" s="26"/>
    </row>
    <row r="57" spans="2:8">
      <c r="B57" s="25"/>
      <c r="E57" s="4"/>
      <c r="G57" s="4"/>
      <c r="H57" s="26"/>
    </row>
    <row r="58" spans="2:8" ht="39" customHeight="1">
      <c r="B58" s="25"/>
      <c r="E58" s="4"/>
      <c r="G58" s="4"/>
      <c r="H58" s="26"/>
    </row>
    <row r="59" spans="2:8">
      <c r="B59" s="25" t="s">
        <v>13</v>
      </c>
      <c r="C59" s="21"/>
      <c r="D59" s="21"/>
      <c r="E59" s="21"/>
      <c r="F59" s="21"/>
      <c r="G59" s="21"/>
      <c r="H59" s="26"/>
    </row>
    <row r="60" spans="2:8">
      <c r="B60" s="25"/>
      <c r="E60" s="4"/>
      <c r="G60" s="4"/>
      <c r="H60" s="26"/>
    </row>
    <row r="61" spans="2:8">
      <c r="B61" s="43" t="s">
        <v>14</v>
      </c>
      <c r="C61" s="44"/>
      <c r="D61" s="44"/>
      <c r="E61" s="44"/>
      <c r="F61" s="44"/>
      <c r="G61" s="44"/>
      <c r="H61" s="45"/>
    </row>
  </sheetData>
  <mergeCells count="11">
    <mergeCell ref="D7:G8"/>
    <mergeCell ref="B7:C8"/>
    <mergeCell ref="B6:C6"/>
    <mergeCell ref="D6:G6"/>
    <mergeCell ref="B9:C9"/>
    <mergeCell ref="D9:G9"/>
    <mergeCell ref="B61:H61"/>
    <mergeCell ref="B11:C11"/>
    <mergeCell ref="B12:C12"/>
    <mergeCell ref="B10:C10"/>
    <mergeCell ref="D12:G12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5C84-47BE-4A5C-BB69-272E212F049F}">
  <dimension ref="A1:F31"/>
  <sheetViews>
    <sheetView topLeftCell="A28" workbookViewId="0">
      <selection activeCell="C2" sqref="C2:C31"/>
    </sheetView>
  </sheetViews>
  <sheetFormatPr defaultRowHeight="15"/>
  <sheetData>
    <row r="1" spans="1:6" ht="15.75" thickBot="1">
      <c r="A1" s="61" t="s">
        <v>23</v>
      </c>
      <c r="B1" s="61" t="s">
        <v>9</v>
      </c>
      <c r="C1" s="61" t="s">
        <v>24</v>
      </c>
      <c r="D1" s="61" t="s">
        <v>25</v>
      </c>
      <c r="E1" s="61" t="s">
        <v>26</v>
      </c>
      <c r="F1" s="61" t="s">
        <v>27</v>
      </c>
    </row>
    <row r="2" spans="1:6" ht="171.75" thickBot="1">
      <c r="A2" s="62">
        <v>1</v>
      </c>
      <c r="B2" s="62" t="s">
        <v>28</v>
      </c>
      <c r="C2" s="62" t="s">
        <v>29</v>
      </c>
      <c r="D2" s="62">
        <v>1</v>
      </c>
      <c r="E2" s="62">
        <v>1</v>
      </c>
      <c r="F2" s="62"/>
    </row>
    <row r="3" spans="1:6" ht="129" thickBot="1">
      <c r="A3" s="62">
        <v>2</v>
      </c>
      <c r="B3" s="62" t="s">
        <v>28</v>
      </c>
      <c r="C3" s="62" t="s">
        <v>30</v>
      </c>
      <c r="D3" s="62">
        <v>1</v>
      </c>
      <c r="E3" s="62">
        <v>1</v>
      </c>
      <c r="F3" s="62"/>
    </row>
    <row r="4" spans="1:6" ht="129" thickBot="1">
      <c r="A4" s="62">
        <v>3</v>
      </c>
      <c r="B4" s="62" t="s">
        <v>28</v>
      </c>
      <c r="C4" s="62" t="s">
        <v>31</v>
      </c>
      <c r="D4" s="62">
        <v>1</v>
      </c>
      <c r="E4" s="62">
        <v>1</v>
      </c>
      <c r="F4" s="62"/>
    </row>
    <row r="5" spans="1:6" ht="114.75" thickBot="1">
      <c r="A5" s="62">
        <v>4</v>
      </c>
      <c r="B5" s="62" t="s">
        <v>28</v>
      </c>
      <c r="C5" s="62" t="s">
        <v>32</v>
      </c>
      <c r="D5" s="62">
        <v>1</v>
      </c>
      <c r="E5" s="62">
        <v>1</v>
      </c>
      <c r="F5" s="62"/>
    </row>
    <row r="6" spans="1:6" ht="157.5" thickBot="1">
      <c r="A6" s="62">
        <v>5</v>
      </c>
      <c r="B6" s="62" t="s">
        <v>28</v>
      </c>
      <c r="C6" s="62" t="s">
        <v>33</v>
      </c>
      <c r="D6" s="62">
        <v>1</v>
      </c>
      <c r="E6" s="62">
        <v>1</v>
      </c>
      <c r="F6" s="62"/>
    </row>
    <row r="7" spans="1:6" ht="143.25" thickBot="1">
      <c r="A7" s="62">
        <v>6</v>
      </c>
      <c r="B7" s="62" t="s">
        <v>28</v>
      </c>
      <c r="C7" s="62" t="s">
        <v>34</v>
      </c>
      <c r="D7" s="62">
        <v>1</v>
      </c>
      <c r="E7" s="62">
        <v>1</v>
      </c>
      <c r="F7" s="62"/>
    </row>
    <row r="8" spans="1:6" ht="114.75" thickBot="1">
      <c r="A8" s="62">
        <v>7</v>
      </c>
      <c r="B8" s="62" t="s">
        <v>28</v>
      </c>
      <c r="C8" s="62" t="s">
        <v>35</v>
      </c>
      <c r="D8" s="62">
        <v>1</v>
      </c>
      <c r="E8" s="62">
        <v>1</v>
      </c>
      <c r="F8" s="62"/>
    </row>
    <row r="9" spans="1:6" ht="100.5" thickBot="1">
      <c r="A9" s="62">
        <v>8</v>
      </c>
      <c r="B9" s="62" t="s">
        <v>28</v>
      </c>
      <c r="C9" s="62" t="s">
        <v>36</v>
      </c>
      <c r="D9" s="62">
        <v>1</v>
      </c>
      <c r="E9" s="62">
        <v>1</v>
      </c>
      <c r="F9" s="62"/>
    </row>
    <row r="10" spans="1:6" ht="129" thickBot="1">
      <c r="A10" s="62">
        <v>9</v>
      </c>
      <c r="B10" s="62" t="s">
        <v>28</v>
      </c>
      <c r="C10" s="62" t="s">
        <v>37</v>
      </c>
      <c r="D10" s="62">
        <v>1</v>
      </c>
      <c r="E10" s="62">
        <v>1</v>
      </c>
      <c r="F10" s="62"/>
    </row>
    <row r="11" spans="1:6" ht="129" thickBot="1">
      <c r="A11" s="62">
        <v>10</v>
      </c>
      <c r="B11" s="62" t="s">
        <v>28</v>
      </c>
      <c r="C11" s="62" t="s">
        <v>38</v>
      </c>
      <c r="D11" s="62">
        <v>1</v>
      </c>
      <c r="E11" s="62">
        <v>1</v>
      </c>
      <c r="F11" s="62"/>
    </row>
    <row r="12" spans="1:6" ht="114.75" thickBot="1">
      <c r="A12" s="62">
        <v>11</v>
      </c>
      <c r="B12" s="62" t="s">
        <v>28</v>
      </c>
      <c r="C12" s="62" t="s">
        <v>39</v>
      </c>
      <c r="D12" s="62">
        <v>1</v>
      </c>
      <c r="E12" s="62">
        <v>1</v>
      </c>
      <c r="F12" s="62"/>
    </row>
    <row r="13" spans="1:6" ht="143.25" thickBot="1">
      <c r="A13" s="62">
        <v>12</v>
      </c>
      <c r="B13" s="62" t="s">
        <v>28</v>
      </c>
      <c r="C13" s="62" t="s">
        <v>40</v>
      </c>
      <c r="D13" s="62">
        <v>1</v>
      </c>
      <c r="E13" s="62">
        <v>1</v>
      </c>
      <c r="F13" s="62"/>
    </row>
    <row r="14" spans="1:6" ht="129" thickBot="1">
      <c r="A14" s="62">
        <v>13</v>
      </c>
      <c r="B14" s="62" t="s">
        <v>28</v>
      </c>
      <c r="C14" s="62" t="s">
        <v>41</v>
      </c>
      <c r="D14" s="62">
        <v>1</v>
      </c>
      <c r="E14" s="62">
        <v>1</v>
      </c>
      <c r="F14" s="62"/>
    </row>
    <row r="15" spans="1:6" ht="129" thickBot="1">
      <c r="A15" s="62">
        <v>14</v>
      </c>
      <c r="B15" s="62" t="s">
        <v>28</v>
      </c>
      <c r="C15" s="62" t="s">
        <v>42</v>
      </c>
      <c r="D15" s="62">
        <v>1</v>
      </c>
      <c r="E15" s="62">
        <v>1</v>
      </c>
      <c r="F15" s="62"/>
    </row>
    <row r="16" spans="1:6" ht="129" thickBot="1">
      <c r="A16" s="62">
        <v>15</v>
      </c>
      <c r="B16" s="62" t="s">
        <v>28</v>
      </c>
      <c r="C16" s="62" t="s">
        <v>43</v>
      </c>
      <c r="D16" s="62">
        <v>1</v>
      </c>
      <c r="E16" s="62">
        <v>1</v>
      </c>
      <c r="F16" s="62"/>
    </row>
    <row r="17" spans="1:6" ht="143.25" thickBot="1">
      <c r="A17" s="62">
        <v>16</v>
      </c>
      <c r="B17" s="62" t="s">
        <v>28</v>
      </c>
      <c r="C17" s="62" t="s">
        <v>44</v>
      </c>
      <c r="D17" s="62">
        <v>1</v>
      </c>
      <c r="E17" s="62">
        <v>1</v>
      </c>
      <c r="F17" s="62"/>
    </row>
    <row r="18" spans="1:6" ht="114.75" thickBot="1">
      <c r="A18" s="62">
        <v>17</v>
      </c>
      <c r="B18" s="62" t="s">
        <v>28</v>
      </c>
      <c r="C18" s="62" t="s">
        <v>45</v>
      </c>
      <c r="D18" s="62">
        <v>1</v>
      </c>
      <c r="E18" s="62">
        <v>1</v>
      </c>
      <c r="F18" s="62"/>
    </row>
    <row r="19" spans="1:6" ht="129" thickBot="1">
      <c r="A19" s="62">
        <v>18</v>
      </c>
      <c r="B19" s="62" t="s">
        <v>28</v>
      </c>
      <c r="C19" s="62" t="s">
        <v>46</v>
      </c>
      <c r="D19" s="62">
        <v>1</v>
      </c>
      <c r="E19" s="62">
        <v>1</v>
      </c>
      <c r="F19" s="62"/>
    </row>
    <row r="20" spans="1:6" ht="143.25" thickBot="1">
      <c r="A20" s="62">
        <v>19</v>
      </c>
      <c r="B20" s="62" t="s">
        <v>28</v>
      </c>
      <c r="C20" s="62" t="s">
        <v>47</v>
      </c>
      <c r="D20" s="62">
        <v>1</v>
      </c>
      <c r="E20" s="62">
        <v>1</v>
      </c>
      <c r="F20" s="62"/>
    </row>
    <row r="21" spans="1:6" ht="129" thickBot="1">
      <c r="A21" s="62">
        <v>20</v>
      </c>
      <c r="B21" s="62" t="s">
        <v>28</v>
      </c>
      <c r="C21" s="62" t="s">
        <v>48</v>
      </c>
      <c r="D21" s="62">
        <v>1</v>
      </c>
      <c r="E21" s="62">
        <v>1</v>
      </c>
      <c r="F21" s="62"/>
    </row>
    <row r="22" spans="1:6" ht="114.75" thickBot="1">
      <c r="A22" s="62">
        <v>21</v>
      </c>
      <c r="B22" s="62" t="s">
        <v>28</v>
      </c>
      <c r="C22" s="62" t="s">
        <v>49</v>
      </c>
      <c r="D22" s="62">
        <v>1</v>
      </c>
      <c r="E22" s="62">
        <v>1</v>
      </c>
      <c r="F22" s="62"/>
    </row>
    <row r="23" spans="1:6" ht="157.5" thickBot="1">
      <c r="A23" s="62">
        <v>22</v>
      </c>
      <c r="B23" s="62" t="s">
        <v>28</v>
      </c>
      <c r="C23" s="62" t="s">
        <v>50</v>
      </c>
      <c r="D23" s="62">
        <v>1</v>
      </c>
      <c r="E23" s="62">
        <v>1</v>
      </c>
      <c r="F23" s="62"/>
    </row>
    <row r="24" spans="1:6" ht="114.75" thickBot="1">
      <c r="A24" s="62">
        <v>23</v>
      </c>
      <c r="B24" s="62" t="s">
        <v>28</v>
      </c>
      <c r="C24" s="62" t="s">
        <v>51</v>
      </c>
      <c r="D24" s="62">
        <v>1</v>
      </c>
      <c r="E24" s="62">
        <v>1</v>
      </c>
      <c r="F24" s="62"/>
    </row>
    <row r="25" spans="1:6" ht="129" thickBot="1">
      <c r="A25" s="62">
        <v>24</v>
      </c>
      <c r="B25" s="62" t="s">
        <v>28</v>
      </c>
      <c r="C25" s="62" t="s">
        <v>52</v>
      </c>
      <c r="D25" s="62">
        <v>1</v>
      </c>
      <c r="E25" s="62">
        <v>1</v>
      </c>
      <c r="F25" s="62"/>
    </row>
    <row r="26" spans="1:6" ht="114.75" thickBot="1">
      <c r="A26" s="62">
        <v>25</v>
      </c>
      <c r="B26" s="62" t="s">
        <v>28</v>
      </c>
      <c r="C26" s="62" t="s">
        <v>53</v>
      </c>
      <c r="D26" s="62">
        <v>1</v>
      </c>
      <c r="E26" s="62">
        <v>1</v>
      </c>
      <c r="F26" s="62"/>
    </row>
    <row r="27" spans="1:6" ht="114.75" thickBot="1">
      <c r="A27" s="62">
        <v>26</v>
      </c>
      <c r="B27" s="62" t="s">
        <v>28</v>
      </c>
      <c r="C27" s="62" t="s">
        <v>54</v>
      </c>
      <c r="D27" s="62">
        <v>1</v>
      </c>
      <c r="E27" s="62">
        <v>1</v>
      </c>
      <c r="F27" s="62"/>
    </row>
    <row r="28" spans="1:6" ht="100.5" thickBot="1">
      <c r="A28" s="62">
        <v>27</v>
      </c>
      <c r="B28" s="62" t="s">
        <v>28</v>
      </c>
      <c r="C28" s="62" t="s">
        <v>55</v>
      </c>
      <c r="D28" s="62">
        <v>1</v>
      </c>
      <c r="E28" s="62">
        <v>1</v>
      </c>
      <c r="F28" s="62"/>
    </row>
    <row r="29" spans="1:6" ht="114.75" thickBot="1">
      <c r="A29" s="62">
        <v>28</v>
      </c>
      <c r="B29" s="62" t="s">
        <v>28</v>
      </c>
      <c r="C29" s="62" t="s">
        <v>56</v>
      </c>
      <c r="D29" s="62">
        <v>1</v>
      </c>
      <c r="E29" s="62">
        <v>1</v>
      </c>
      <c r="F29" s="62"/>
    </row>
    <row r="30" spans="1:6" ht="143.25" thickBot="1">
      <c r="A30" s="62">
        <v>29</v>
      </c>
      <c r="B30" s="62" t="s">
        <v>28</v>
      </c>
      <c r="C30" s="62" t="s">
        <v>57</v>
      </c>
      <c r="D30" s="62">
        <v>1</v>
      </c>
      <c r="E30" s="62">
        <v>1</v>
      </c>
      <c r="F30" s="62"/>
    </row>
    <row r="31" spans="1:6" ht="157.5" thickBot="1">
      <c r="A31" s="62">
        <v>30</v>
      </c>
      <c r="B31" s="62" t="s">
        <v>28</v>
      </c>
      <c r="C31" s="62" t="s">
        <v>58</v>
      </c>
      <c r="D31" s="62">
        <v>1</v>
      </c>
      <c r="E31" s="62">
        <v>1</v>
      </c>
      <c r="F31" s="6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2025-09-16T03:23:50Z</cp:lastPrinted>
  <dcterms:created xsi:type="dcterms:W3CDTF">2023-07-26T09:32:00Z</dcterms:created>
  <dcterms:modified xsi:type="dcterms:W3CDTF">2025-11-06T10:33:59Z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