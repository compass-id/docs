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E124BBC1-C76B-4C79-BB00-BA5D8D8D921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 a="1"/>
  <c r="E18" i="1" s="1"/>
  <c r="E19" i="1" a="1"/>
  <c r="E19" i="1" s="1"/>
  <c r="C21" i="1" a="1"/>
  <c r="C21" i="1" s="1"/>
  <c r="E21" i="1" s="1" a="1"/>
  <c r="E21" i="1" s="1"/>
  <c r="H21" i="1" s="1"/>
  <c r="C18" i="1" a="1"/>
  <c r="C18" i="1" s="1"/>
  <c r="C19" i="1" a="1"/>
  <c r="C19" i="1" s="1"/>
  <c r="C20" i="1" a="1"/>
  <c r="C20" i="1" s="1"/>
  <c r="E20" i="1" s="1" a="1"/>
  <c r="E20" i="1" s="1"/>
  <c r="D15" i="1"/>
  <c r="C15" i="1"/>
  <c r="C22" i="1" a="1"/>
  <c r="C22" i="1" s="1"/>
  <c r="E22" i="1" s="1" a="1"/>
  <c r="E22" i="1" s="1"/>
  <c r="H18" i="1" l="1"/>
  <c r="G22" i="1"/>
  <c r="H22" i="1"/>
  <c r="H20" i="1"/>
  <c r="G20" i="1"/>
  <c r="H19" i="1"/>
  <c r="G19" i="1"/>
  <c r="G21" i="1"/>
  <c r="G18" i="1"/>
  <c r="B15" i="1" l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<sst xmlns="http://schemas.openxmlformats.org/spreadsheetml/2006/main" count="32" uniqueCount="32">
  <si>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</si>
  <si>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</si>
  <si>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</si>
  <si>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</si>
  <si>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</si>
  <si>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</si>
  <si>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</si>
  <si>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</si>
  <si>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</si>
  <si>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</si>
  <si>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</si>
  <si>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</si>
  <si>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</si>
  <si>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</si>
  <si>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</si>
  <si>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</si>
  <si>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</si>
  <si>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</si>
  <si>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</si>
  <si>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</si>
  <si>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</si>
  <si>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</si>
  <si>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</si>
  <si>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Odyssey 1 - Student Book and Workbook</t>
  </si>
  <si>
    <t>Odyssey 2 - Student Book and Workbook</t>
  </si>
  <si>
    <t>Odyssey 3 - Student Book and Workbook</t>
  </si>
  <si>
    <t>Odyssey 4 - Student Book and Workbook</t>
  </si>
  <si>
    <t>Odyssey 5 - Student Book and Workbook</t>
  </si>
  <si>
    <t>COM1040825</t>
  </si>
  <si>
    <t>Ms. Vera - SMP SMA Galatia 4</t>
  </si>
  <si>
    <t>Jl. Boulevard Hijau Raya Blok A1 No.1, RT.006/RW.009, Pejuang, Kecamatan Medan Satria, Kota Bks, Jawa Barat 17131</t>
  </si>
  <si>
    <t>(021) 88872723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</si>
</sst>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44" fontId="13" fillId="0" borderId="13" xfId="0" applyNumberFormat="1" applyFont="1" applyBorder="1" applyAlignment="1">
      <alignment horizontal="center" vertical="center" wrapText="1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30</xdr:row>
      <xdr:rowOff>168088</xdr:rowOff>
    </xdr:from>
    <xdr:to>
      <xdr:col>1</xdr:col>
      <xdr:colOff>1356518</xdr:colOff>
      <xdr:row>34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topLeftCell="A4" zoomScale="85" zoomScaleNormal="85" workbookViewId="0">
      <selection activeCell="D23" sqref="D23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15</v>
      </c>
      <c r="E5" s="54" t="s">
        <v>28</v>
      </c>
      <c r="F5" s="13" t="s">
        <v>1</v>
      </c>
      <c r="G5" s="23">
        <v>45999</v>
      </c>
    </row>
    <row r="6" spans="1:8">
      <c r="B6" s="40" t="s">
        <v>2</v>
      </c>
      <c r="C6" s="41"/>
      <c r="D6" s="42" t="s">
        <v>3</v>
      </c>
      <c r="E6" s="42"/>
      <c r="F6" s="42"/>
      <c r="G6" s="42"/>
      <c r="H6" s="17"/>
    </row>
    <row r="7" spans="1:8" ht="15.75" customHeight="1">
      <c r="B7" s="55" t="s">
        <v>29</v>
      </c>
      <c r="C7" s="39"/>
      <c r="D7" s="57" t="s">
        <v>30</v>
      </c>
      <c r="E7" s="37"/>
      <c r="F7" s="37"/>
      <c r="G7" s="37"/>
      <c r="H7" s="17"/>
    </row>
    <row r="8" spans="1:8">
      <c r="B8" s="39"/>
      <c r="C8" s="39"/>
      <c r="D8" s="38"/>
      <c r="E8" s="39"/>
      <c r="F8" s="39"/>
      <c r="G8" s="39"/>
      <c r="H8" s="17"/>
    </row>
    <row r="9" spans="1:8">
      <c r="B9" s="43" t="s">
        <v>4</v>
      </c>
      <c r="C9" s="44"/>
      <c r="D9" s="42" t="s">
        <v>5</v>
      </c>
      <c r="E9" s="42"/>
      <c r="F9" s="42"/>
      <c r="G9" s="45"/>
      <c r="H9" s="17"/>
    </row>
    <row r="10" spans="1:8">
      <c r="B10" s="50"/>
      <c r="C10" s="50"/>
      <c r="D10" s="34"/>
      <c r="E10"/>
      <c r="F10"/>
      <c r="G10" s="35"/>
      <c r="H10" s="17"/>
    </row>
    <row r="11" spans="1:8">
      <c r="B11" s="42" t="s">
        <v>6</v>
      </c>
      <c r="C11" s="42"/>
      <c r="D11" s="34"/>
      <c r="E11"/>
      <c r="F11"/>
      <c r="G11" s="35"/>
      <c r="H11" s="17"/>
    </row>
    <row r="12" spans="1:8">
      <c r="B12" s="56" t="s">
        <v>31</v>
      </c>
      <c r="C12" s="49"/>
      <c r="D12" s="51"/>
      <c r="E12" s="52"/>
      <c r="F12" s="52"/>
      <c r="G12" s="53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7</v>
      </c>
      <c r="C14" s="19" t="s">
        <v>21</v>
      </c>
      <c r="D14" s="19" t="s">
        <v>8</v>
      </c>
      <c r="E14" s="15"/>
      <c r="F14" s="12"/>
      <c r="G14" s="16"/>
      <c r="H14" s="17"/>
    </row>
    <row r="15" spans="1:8">
      <c r="B15" s="20">
        <f>SUM(H18:H22)</f>
        <v>7350000</v>
      </c>
      <c r="C15" s="21">
        <f>COUNT(D18:D22)</f>
        <v>5</v>
      </c>
      <c r="D15" s="21">
        <f>SUM(D18:D22)</f>
        <v>98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60" t="s">
        <v>22</v>
      </c>
      <c r="C17" s="61" t="s">
        <v>9</v>
      </c>
      <c r="D17" s="61" t="s">
        <v>10</v>
      </c>
      <c r="E17" s="61" t="s">
        <v>16</v>
      </c>
      <c r="F17" s="61" t="s">
        <v>11</v>
      </c>
      <c r="G17" s="61" t="s">
        <v>17</v>
      </c>
      <c r="H17" s="62" t="s">
        <v>19</v>
      </c>
    </row>
    <row r="18" spans="2:8">
      <c r="B18" s="33" t="s">
        <v>23</v>
      </c>
      <c r="C18" s="32" t="str" cm="1">
        <f t="array" ref="C18">_xlfn.REGEXEXTRACT(_xlfn.WEBSERVICE("https://seg-server.vercel.app/api/books/isbn/"&amp;B18), "\d+")</f>
        <v>9781640155978</v>
      </c>
      <c r="D18" s="63">
        <v>15</v>
      </c>
      <c r="E18" s="58" t="str" cm="1">
        <f t="array" ref="E18">_xlfn.REGEXEXTRACT(_xlfn.WEBSERVICE("https://seg-server.vercel.app/api/books/price/"&amp;C18), "\d+")</f>
        <v>125000</v>
      </c>
      <c r="F18" s="64">
        <v>0.4</v>
      </c>
      <c r="G18" s="65">
        <f t="shared" ref="G18:G22" si="0">(E18-(E18*F18))</f>
        <v>75000</v>
      </c>
      <c r="H18" s="65">
        <f t="shared" ref="H18:H22" si="1">(E18-(E18*F18))*(D18)</f>
        <v>1125000</v>
      </c>
    </row>
    <row r="19" spans="2:8">
      <c r="B19" s="33" t="s">
        <v>24</v>
      </c>
      <c r="C19" s="32" t="str" cm="1">
        <f t="array" ref="C19">_xlfn.REGEXEXTRACT(_xlfn.WEBSERVICE("https://seg-server.vercel.app/api/books/isbn/"&amp;B19), "\d+")</f>
        <v>9781640155985</v>
      </c>
      <c r="D19" s="63">
        <v>23</v>
      </c>
      <c r="E19" s="58" t="str" cm="1">
        <f t="array" ref="E19">_xlfn.REGEXEXTRACT(_xlfn.WEBSERVICE("https://seg-server.vercel.app/api/books/price/"&amp;C19), "\d+")</f>
        <v>125000</v>
      </c>
      <c r="F19" s="64">
        <v>0.4</v>
      </c>
      <c r="G19" s="65">
        <f t="shared" si="0"/>
        <v>75000</v>
      </c>
      <c r="H19" s="65">
        <f t="shared" si="1"/>
        <v>1725000</v>
      </c>
    </row>
    <row r="20" spans="2:8">
      <c r="B20" s="33" t="s">
        <v>25</v>
      </c>
      <c r="C20" s="32" t="str" cm="1">
        <f t="array" ref="C20">_xlfn.REGEXEXTRACT(_xlfn.WEBSERVICE("https://seg-server.vercel.app/api/books/isbn/"&amp;B20), "\d+")</f>
        <v>9781640155992</v>
      </c>
      <c r="D20" s="63">
        <v>17</v>
      </c>
      <c r="E20" s="58" t="str" cm="1">
        <f t="array" ref="E20">_xlfn.REGEXEXTRACT(_xlfn.WEBSERVICE("https://seg-server.vercel.app/api/books/price/"&amp;C20), "\d+")</f>
        <v>125000</v>
      </c>
      <c r="F20" s="64">
        <v>0.4</v>
      </c>
      <c r="G20" s="65">
        <f t="shared" si="0"/>
        <v>75000</v>
      </c>
      <c r="H20" s="65">
        <f t="shared" si="1"/>
        <v>1275000</v>
      </c>
    </row>
    <row r="21" spans="2:8">
      <c r="B21" s="33" t="s">
        <v>26</v>
      </c>
      <c r="C21" s="32" t="str" cm="1">
        <f t="array" ref="C21">_xlfn.REGEXEXTRACT(_xlfn.WEBSERVICE("https://seg-server.vercel.app/api/books/isbn/"&amp;B21), "\d+")</f>
        <v>9781640156005</v>
      </c>
      <c r="D21" s="63">
        <v>16</v>
      </c>
      <c r="E21" s="58" t="str" cm="1">
        <f t="array" ref="E21">_xlfn.REGEXEXTRACT(_xlfn.WEBSERVICE("https://seg-server.vercel.app/api/books/price/"&amp;C21), "\d+")</f>
        <v>125000</v>
      </c>
      <c r="F21" s="64">
        <v>0.4</v>
      </c>
      <c r="G21" s="65">
        <f t="shared" si="0"/>
        <v>75000</v>
      </c>
      <c r="H21" s="65">
        <f t="shared" si="1"/>
        <v>1200000</v>
      </c>
    </row>
    <row r="22" spans="2:8">
      <c r="B22" s="33" t="s">
        <v>27</v>
      </c>
      <c r="C22" s="32" t="str" cm="1">
        <f t="array" ref="C22">_xlfn.REGEXEXTRACT(_xlfn.WEBSERVICE("https://seg-server.vercel.app/api/books/isbn/"&amp;B22), "\d+")</f>
        <v>9781640156012</v>
      </c>
      <c r="D22" s="63">
        <v>27</v>
      </c>
      <c r="E22" s="58" t="str" cm="1">
        <f t="array" ref="E22">_xlfn.REGEXEXTRACT(_xlfn.WEBSERVICE("https://seg-server.vercel.app/api/books/price/"&amp;C22), "\d+")</f>
        <v>125000</v>
      </c>
      <c r="F22" s="64">
        <v>0.4</v>
      </c>
      <c r="G22" s="65">
        <f t="shared" si="0"/>
        <v>75000</v>
      </c>
      <c r="H22" s="65">
        <f t="shared" si="1"/>
        <v>2025000</v>
      </c>
    </row>
    <row r="23" spans="2:8">
      <c r="G23" s="30" t="s">
        <v>20</v>
      </c>
      <c r="H23" s="59">
        <f>SUM(H18:H22)</f>
        <v>7350000</v>
      </c>
    </row>
    <row r="25" spans="2:8">
      <c r="B25" s="24"/>
      <c r="C25" s="25"/>
      <c r="D25" s="25"/>
      <c r="E25" s="25"/>
      <c r="F25" s="25"/>
      <c r="G25" s="25"/>
      <c r="H25" s="26"/>
    </row>
    <row r="26" spans="2:8">
      <c r="B26" s="31" t="s">
        <v>18</v>
      </c>
      <c r="E26" s="4"/>
      <c r="G26" s="4"/>
      <c r="H26" s="28"/>
    </row>
    <row r="27" spans="2:8">
      <c r="B27" s="36"/>
      <c r="E27" s="4"/>
      <c r="G27" s="4"/>
      <c r="H27" s="28"/>
    </row>
    <row r="28" spans="2:8">
      <c r="B28" s="36"/>
      <c r="E28" s="4"/>
      <c r="G28" s="4"/>
      <c r="H28" s="28"/>
    </row>
    <row r="29" spans="2:8">
      <c r="B29" s="36"/>
      <c r="E29" s="4"/>
      <c r="G29" s="4"/>
      <c r="H29" s="28"/>
    </row>
    <row r="30" spans="2:8">
      <c r="B30" s="27"/>
      <c r="E30" s="4"/>
      <c r="G30" s="4"/>
      <c r="H30" s="28"/>
    </row>
    <row r="31" spans="2:8">
      <c r="B31" s="29" t="s">
        <v>12</v>
      </c>
      <c r="E31" s="4"/>
      <c r="G31" s="4"/>
      <c r="H31" s="28"/>
    </row>
    <row r="32" spans="2:8">
      <c r="B32" s="27"/>
      <c r="E32" s="4"/>
      <c r="G32" s="4"/>
      <c r="H32" s="28"/>
    </row>
    <row r="33" spans="2:8" ht="39" customHeight="1">
      <c r="B33" s="27"/>
      <c r="E33" s="4"/>
      <c r="G33" s="4"/>
      <c r="H33" s="28"/>
    </row>
    <row r="34" spans="2:8">
      <c r="B34" s="27" t="s">
        <v>13</v>
      </c>
      <c r="C34" s="22"/>
      <c r="D34" s="22"/>
      <c r="E34" s="22"/>
      <c r="F34" s="22"/>
      <c r="G34" s="22"/>
      <c r="H34" s="28"/>
    </row>
    <row r="35" spans="2:8">
      <c r="B35" s="27"/>
      <c r="E35" s="4"/>
      <c r="G35" s="4"/>
      <c r="H35" s="28"/>
    </row>
    <row r="36" spans="2:8">
      <c r="B36" s="46" t="s">
        <v>14</v>
      </c>
      <c r="C36" s="47"/>
      <c r="D36" s="47"/>
      <c r="E36" s="47"/>
      <c r="F36" s="47"/>
      <c r="G36" s="47"/>
      <c r="H36" s="48"/>
    </row>
  </sheetData>
  <mergeCells count="11">
    <mergeCell ref="B36:H36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2025-08-12T10:27:26Z</cp:lastPrinted>
  <dcterms:created xsi:type="dcterms:W3CDTF">2023-07-26T09:32:00Z</dcterms:created>
  <dcterms:modified xsi:type="dcterms:W3CDTF">2025-08-12T10:28:40Z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