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8_{67091441-C395-7D48-9B5E-64F6B3F489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G18" i="1"/>
  <c r="H19" i="1"/>
  <c r="D15" i="1"/>
  <c r="C15" i="1"/>
  <c r="B15" i="1"/>
</calcChain>
</file>

<file path=xl/sharedStrings.xml><?xml version="1.0" encoding="utf-8"?>
<sst xmlns="http://schemas.openxmlformats.org/spreadsheetml/2006/main" count="28" uniqueCount="28">
  <si>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</si>
  <si>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</si>
  <si>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</si>
  <si>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</si>
  <si>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</si>
  <si>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</si>
  <si>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</si>
  <si>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</si>
  <si>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</si>
  <si>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</si>
  <si>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</si>
  <si>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</si>
  <si>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</si>
  <si>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</si>
  <si>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</si>
  <si>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</si>
  <si>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</si>
  <si>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</si>
  <si>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</si>
  <si>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</si>
  <si>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</si>
  <si>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</si>
  <si>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</si>
  <si>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COM1041025</t>
  </si>
  <si>
    <t>22/10/2025</t>
  </si>
  <si>
    <t>English Treasure 1 - Student Book</t>
  </si>
  <si>
    <t>Jl. Boulevard Hijau Raya Blok A1 No.1, RT.006/RW.009, Pejuang, Kecamatan Medan Satria, Kota Bks, Jawa Barat 17131</t>
  </si>
  <si>
    <t>SD Galatia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</si>
</sst>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5" x14ac:knownFonts="1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1" fontId="13" fillId="0" borderId="13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top" wrapTex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center" wrapText="1"/>
    </xf>
    <xf numFmtId="9" fontId="11" fillId="2" borderId="13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3" fillId="0" borderId="13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1" fillId="0" borderId="17" xfId="0" applyFont="1" applyBorder="1" applyAlignment="1">
      <alignment horizontal="left" vertical="center" indent="1"/>
    </xf>
    <xf numFmtId="0" fontId="1" fillId="0" borderId="18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26</xdr:row>
      <xdr:rowOff>168088</xdr:rowOff>
    </xdr:from>
    <xdr:to>
      <xdr:col>1</xdr:col>
      <xdr:colOff>1356518</xdr:colOff>
      <xdr:row>30</xdr:row>
      <xdr:rowOff>68870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"/>
  <sheetViews>
    <sheetView tabSelected="1" topLeftCell="D3" zoomScale="85" zoomScaleNormal="85" workbookViewId="0">
      <selection activeCell="E18" sqref="E18"/>
    </sheetView>
  </sheetViews>
  <sheetFormatPr defaultColWidth="9.01171875" defaultRowHeight="15" x14ac:dyDescent="0.2"/>
  <cols>
    <col min="1" max="1" width="8.609375" style="2" customWidth="1"/>
    <col min="2" max="2" width="70.7578125" style="3" bestFit="1" customWidth="1"/>
    <col min="3" max="3" width="32.28515625" style="4" customWidth="1"/>
    <col min="4" max="4" width="23.9453125" style="4" customWidth="1"/>
    <col min="5" max="5" width="32.015625" style="5" customWidth="1"/>
    <col min="6" max="6" width="21.7890625" style="4" customWidth="1"/>
    <col min="7" max="7" width="38.203125" style="5" customWidth="1"/>
    <col min="8" max="8" width="35.51171875" style="2" customWidth="1"/>
  </cols>
  <sheetData>
    <row r="1" spans="1:8" x14ac:dyDescent="0.2">
      <c r="E1" s="4"/>
      <c r="G1" s="6"/>
    </row>
    <row r="2" spans="1:8" x14ac:dyDescent="0.2">
      <c r="E2" s="4"/>
      <c r="G2" s="6"/>
    </row>
    <row r="3" spans="1:8" s="1" customFormat="1" ht="104.25" customHeight="1" x14ac:dyDescent="0.65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 x14ac:dyDescent="0.2">
      <c r="E4" s="4"/>
      <c r="G4" s="4"/>
    </row>
    <row r="5" spans="1:8" x14ac:dyDescent="0.2">
      <c r="D5" s="45" t="s">
        <v>15</v>
      </c>
      <c r="E5" s="35" t="s">
        <v>23</v>
      </c>
      <c r="F5" s="45" t="s">
        <v>1</v>
      </c>
      <c r="G5" s="44" t="s">
        <v>24</v>
      </c>
    </row>
    <row r="6" spans="1:8" x14ac:dyDescent="0.2">
      <c r="B6" s="50" t="s">
        <v>2</v>
      </c>
      <c r="C6" s="51"/>
      <c r="D6" s="52" t="s">
        <v>3</v>
      </c>
      <c r="E6" s="52"/>
      <c r="F6" s="52"/>
      <c r="G6" s="52"/>
      <c r="H6" s="16"/>
    </row>
    <row r="7" spans="1:8" ht="15.75" customHeight="1" x14ac:dyDescent="0.2">
      <c r="B7" s="49" t="s">
        <v>27</v>
      </c>
      <c r="C7" s="49"/>
      <c r="D7" s="46" t="s">
        <v>26</v>
      </c>
      <c r="E7" s="47"/>
      <c r="F7" s="47"/>
      <c r="G7" s="47"/>
      <c r="H7" s="16"/>
    </row>
    <row r="8" spans="1:8" x14ac:dyDescent="0.2">
      <c r="B8" s="49"/>
      <c r="C8" s="49"/>
      <c r="D8" s="48"/>
      <c r="E8" s="49"/>
      <c r="F8" s="49"/>
      <c r="G8" s="49"/>
      <c r="H8" s="16"/>
    </row>
    <row r="9" spans="1:8" x14ac:dyDescent="0.2">
      <c r="B9" s="53" t="s">
        <v>4</v>
      </c>
      <c r="C9" s="54"/>
      <c r="D9" s="52" t="s">
        <v>5</v>
      </c>
      <c r="E9" s="52"/>
      <c r="F9" s="52"/>
      <c r="G9" s="55"/>
      <c r="H9" s="16"/>
    </row>
    <row r="10" spans="1:8" x14ac:dyDescent="0.2">
      <c r="B10" s="60"/>
      <c r="C10" s="60"/>
      <c r="D10" s="32"/>
      <c r="E10"/>
      <c r="F10"/>
      <c r="G10" s="33"/>
      <c r="H10" s="16"/>
    </row>
    <row r="11" spans="1:8" x14ac:dyDescent="0.2">
      <c r="B11" s="52" t="s">
        <v>6</v>
      </c>
      <c r="C11" s="52"/>
      <c r="D11" s="32"/>
      <c r="E11"/>
      <c r="F11"/>
      <c r="G11" s="33"/>
      <c r="H11" s="16"/>
    </row>
    <row r="12" spans="1:8" x14ac:dyDescent="0.2">
      <c r="B12" s="59"/>
      <c r="C12" s="59"/>
      <c r="D12" s="61"/>
      <c r="E12" s="62"/>
      <c r="F12" s="62"/>
      <c r="G12" s="63"/>
      <c r="H12" s="16"/>
    </row>
    <row r="13" spans="1:8" ht="15.75" customHeight="1" x14ac:dyDescent="0.2">
      <c r="B13" s="11"/>
      <c r="C13" s="12"/>
      <c r="D13" s="12"/>
      <c r="E13" s="13"/>
      <c r="F13" s="12"/>
      <c r="G13" s="13"/>
      <c r="H13" s="16"/>
    </row>
    <row r="14" spans="1:8" x14ac:dyDescent="0.2">
      <c r="B14" s="17" t="s">
        <v>7</v>
      </c>
      <c r="C14" s="18" t="s">
        <v>21</v>
      </c>
      <c r="D14" s="18" t="s">
        <v>8</v>
      </c>
      <c r="E14" s="14"/>
      <c r="F14" s="12"/>
      <c r="G14" s="15"/>
      <c r="H14" s="16"/>
    </row>
    <row r="15" spans="1:8" x14ac:dyDescent="0.2">
      <c r="B15" s="19">
        <f>SUM(H18:H18)</f>
        <v>60000</v>
      </c>
      <c r="C15" s="20">
        <f>COUNT(D18:D18)</f>
        <v>1</v>
      </c>
      <c r="D15" s="20">
        <f>SUM(D18:D18)</f>
        <v>1</v>
      </c>
      <c r="E15" s="13"/>
      <c r="F15" s="12"/>
      <c r="G15" s="13"/>
      <c r="H15" s="16"/>
    </row>
    <row r="16" spans="1:8" x14ac:dyDescent="0.2">
      <c r="B16" s="11"/>
      <c r="C16" s="12"/>
      <c r="D16" s="12"/>
      <c r="E16" s="13"/>
      <c r="F16" s="12"/>
      <c r="G16" s="13"/>
      <c r="H16" s="16"/>
    </row>
    <row r="17" spans="2:8" x14ac:dyDescent="0.2">
      <c r="B17" s="37" t="s">
        <v>22</v>
      </c>
      <c r="C17" s="38" t="s">
        <v>9</v>
      </c>
      <c r="D17" s="38" t="s">
        <v>10</v>
      </c>
      <c r="E17" s="38" t="s">
        <v>16</v>
      </c>
      <c r="F17" s="38" t="s">
        <v>11</v>
      </c>
      <c r="G17" s="38" t="s">
        <v>17</v>
      </c>
      <c r="H17" s="39" t="s">
        <v>19</v>
      </c>
    </row>
    <row r="18" spans="2:8" x14ac:dyDescent="0.2">
      <c r="B18" s="31" t="s">
        <v>25</v>
      </c>
      <c r="C18" s="30">
        <v>9781599663876</v>
      </c>
      <c r="D18" s="40">
        <v>1</v>
      </c>
      <c r="E18" s="43">
        <v>100000</v>
      </c>
      <c r="F18" s="41">
        <v>0.4</v>
      </c>
      <c r="G18" s="42">
        <f t="shared" ref="G18" si="0">(E18-(E18*F18))</f>
        <v>60000</v>
      </c>
      <c r="H18" s="42">
        <f t="shared" ref="H18" si="1">(E18-(E18*F18))*(D18)</f>
        <v>60000</v>
      </c>
    </row>
    <row r="19" spans="2:8" x14ac:dyDescent="0.2">
      <c r="G19" s="28" t="s">
        <v>20</v>
      </c>
      <c r="H19" s="36">
        <f>SUM(H18:H18)</f>
        <v>60000</v>
      </c>
    </row>
    <row r="21" spans="2:8" x14ac:dyDescent="0.2">
      <c r="B21" s="22"/>
      <c r="C21" s="23"/>
      <c r="D21" s="23"/>
      <c r="E21" s="23"/>
      <c r="F21" s="23"/>
      <c r="G21" s="23"/>
      <c r="H21" s="24"/>
    </row>
    <row r="22" spans="2:8" x14ac:dyDescent="0.2">
      <c r="B22" s="29" t="s">
        <v>18</v>
      </c>
      <c r="E22" s="4"/>
      <c r="G22" s="4"/>
      <c r="H22" s="26"/>
    </row>
    <row r="23" spans="2:8" x14ac:dyDescent="0.2">
      <c r="B23" s="34"/>
      <c r="E23" s="4"/>
      <c r="G23" s="4"/>
      <c r="H23" s="26"/>
    </row>
    <row r="24" spans="2:8" x14ac:dyDescent="0.2">
      <c r="B24" s="34"/>
      <c r="E24" s="4"/>
      <c r="G24" s="4"/>
      <c r="H24" s="26"/>
    </row>
    <row r="25" spans="2:8" x14ac:dyDescent="0.2">
      <c r="B25" s="34"/>
      <c r="E25" s="4"/>
      <c r="G25" s="4"/>
      <c r="H25" s="26"/>
    </row>
    <row r="26" spans="2:8" x14ac:dyDescent="0.2">
      <c r="B26" s="25"/>
      <c r="E26" s="4"/>
      <c r="G26" s="4"/>
      <c r="H26" s="26"/>
    </row>
    <row r="27" spans="2:8" x14ac:dyDescent="0.2">
      <c r="B27" s="27" t="s">
        <v>12</v>
      </c>
      <c r="E27" s="4"/>
      <c r="G27" s="4"/>
      <c r="H27" s="26"/>
    </row>
    <row r="28" spans="2:8" x14ac:dyDescent="0.2">
      <c r="B28" s="25"/>
      <c r="E28" s="4"/>
      <c r="G28" s="4"/>
      <c r="H28" s="26"/>
    </row>
    <row r="29" spans="2:8" ht="39" customHeight="1" x14ac:dyDescent="0.2">
      <c r="B29" s="25"/>
      <c r="E29" s="4"/>
      <c r="G29" s="4"/>
      <c r="H29" s="26"/>
    </row>
    <row r="30" spans="2:8" x14ac:dyDescent="0.2">
      <c r="B30" s="25" t="s">
        <v>13</v>
      </c>
      <c r="C30" s="21"/>
      <c r="D30" s="21"/>
      <c r="E30" s="21"/>
      <c r="F30" s="21"/>
      <c r="G30" s="21"/>
      <c r="H30" s="26"/>
    </row>
    <row r="31" spans="2:8" x14ac:dyDescent="0.2">
      <c r="B31" s="25"/>
      <c r="E31" s="4"/>
      <c r="G31" s="4"/>
      <c r="H31" s="26"/>
    </row>
    <row r="32" spans="2:8" x14ac:dyDescent="0.2">
      <c r="B32" s="56" t="s">
        <v>14</v>
      </c>
      <c r="C32" s="57"/>
      <c r="D32" s="57"/>
      <c r="E32" s="57"/>
      <c r="F32" s="57"/>
      <c r="G32" s="57"/>
      <c r="H32" s="58"/>
    </row>
  </sheetData>
  <mergeCells count="11">
    <mergeCell ref="B32:H32"/>
    <mergeCell ref="B11:C11"/>
    <mergeCell ref="B12:C12"/>
    <mergeCell ref="B10:C10"/>
    <mergeCell ref="D12:G12"/>
    <mergeCell ref="D7:G8"/>
    <mergeCell ref="B7:C8"/>
    <mergeCell ref="B6:C6"/>
    <mergeCell ref="D6:G6"/>
    <mergeCell ref="B9:C9"/>
    <mergeCell ref="D9:G9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2025-09-16T03:23:50Z</cp:lastPrinted>
  <dcterms:created xsi:type="dcterms:W3CDTF">2023-07-26T09:32:00Z</dcterms:created>
  <dcterms:modified xsi:type="dcterms:W3CDTF">2025-10-22T05:06:37Z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