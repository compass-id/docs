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13_ncr:1_{015ACB40-B451-4B61-B58C-1032F997391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 a="1"/>
  <c r="C25" i="1" s="1"/>
  <c r="E25" i="1" s="1" a="1"/>
  <c r="E25" i="1" s="1"/>
  <c r="C24" i="1" a="1"/>
  <c r="C24" i="1" s="1"/>
  <c r="E24" i="1" s="1" a="1"/>
  <c r="E24" i="1" s="1"/>
  <c r="C23" i="1" a="1"/>
  <c r="C23" i="1" s="1"/>
  <c r="E23" i="1" s="1" a="1"/>
  <c r="E23" i="1" s="1"/>
  <c r="C22" i="1" a="1"/>
  <c r="C22" i="1" s="1"/>
  <c r="E22" i="1" s="1" a="1"/>
  <c r="E22" i="1" s="1"/>
  <c r="C21" i="1" a="1"/>
  <c r="C21" i="1" s="1"/>
  <c r="E21" i="1" s="1" a="1"/>
  <c r="E21" i="1" s="1"/>
  <c r="C20" i="1" a="1"/>
  <c r="C20" i="1" s="1"/>
  <c r="E20" i="1" s="1" a="1"/>
  <c r="E20" i="1" s="1"/>
  <c r="C19" i="1" a="1"/>
  <c r="C19" i="1" s="1"/>
  <c r="E19" i="1" s="1" a="1"/>
  <c r="E19" i="1" s="1"/>
  <c r="C18" i="1" a="1"/>
  <c r="C18" i="1" s="1"/>
  <c r="E18" i="1" s="1" a="1"/>
  <c r="E18" i="1" s="1"/>
  <c r="D15" i="1"/>
  <c r="C15" i="1"/>
  <c r="H25" i="1" l="1"/>
  <c r="G25" i="1"/>
  <c r="G24" i="1"/>
  <c r="H24" i="1"/>
  <c r="G23" i="1"/>
  <c r="H23" i="1"/>
  <c r="G22" i="1"/>
  <c r="H22" i="1"/>
  <c r="H21" i="1"/>
  <c r="G21" i="1"/>
  <c r="G20" i="1"/>
  <c r="H20" i="1"/>
  <c r="G19" i="1"/>
  <c r="H19" i="1"/>
  <c r="H18" i="1"/>
  <c r="G18" i="1"/>
  <c r="B15" i="1" l="1"/>
  <c r="H2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<sst xmlns="http://schemas.openxmlformats.org/spreadsheetml/2006/main" count="34" uniqueCount="34">
  <si>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</si>
  <si>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</si>
  <si>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</si>
  <si>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</si>
  <si>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</si>
  <si>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</si>
  <si>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</si>
  <si>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</si>
  <si>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</si>
  <si>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</si>
  <si>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</si>
  <si>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</si>
  <si>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</si>
  <si>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</si>
  <si>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</si>
  <si>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</si>
  <si>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</si>
  <si>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</si>
  <si>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</si>
  <si>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</si>
  <si>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</si>
  <si>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</si>
  <si>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</si>
  <si>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English Corner</t>
  </si>
  <si>
    <t>COM1050825</t>
  </si>
  <si>
    <t>13/8/2025</t>
  </si>
  <si>
    <t>Boost English 1 - Work Book</t>
  </si>
  <si>
    <t>Boost English 2 - Work Book</t>
  </si>
  <si>
    <t>Boost English 3 - Work Book</t>
  </si>
  <si>
    <t>Boost English 4 - Work Book</t>
  </si>
  <si>
    <t>Boost English 1 - Student Book</t>
  </si>
  <si>
    <t>Boost English 2 - Student Book</t>
  </si>
  <si>
    <t>Boost English 3 - Student Book</t>
  </si>
  <si>
    <t>Boost English 4 - Student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</si>
</sst>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31</xdr:row>
      <xdr:rowOff>168088</xdr:rowOff>
    </xdr:from>
    <xdr:to>
      <xdr:col>1</xdr:col>
      <xdr:colOff>1356518</xdr:colOff>
      <xdr:row>35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topLeftCell="A9" zoomScale="85" zoomScaleNormal="85" workbookViewId="0">
      <selection activeCell="E27" sqref="E27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15</v>
      </c>
      <c r="E5" s="36" t="s">
        <v>24</v>
      </c>
      <c r="F5" s="13" t="s">
        <v>1</v>
      </c>
      <c r="G5" s="44" t="s">
        <v>25</v>
      </c>
    </row>
    <row r="6" spans="1:8">
      <c r="B6" s="61" t="s">
        <v>2</v>
      </c>
      <c r="C6" s="62"/>
      <c r="D6" s="49" t="s">
        <v>3</v>
      </c>
      <c r="E6" s="49"/>
      <c r="F6" s="49"/>
      <c r="G6" s="49"/>
      <c r="H6" s="17"/>
    </row>
    <row r="7" spans="1:8" ht="15.75" customHeight="1">
      <c r="B7" s="60" t="s">
        <v>23</v>
      </c>
      <c r="C7" s="59"/>
      <c r="D7" s="56"/>
      <c r="E7" s="57"/>
      <c r="F7" s="57"/>
      <c r="G7" s="57"/>
      <c r="H7" s="17"/>
    </row>
    <row r="8" spans="1:8">
      <c r="B8" s="59"/>
      <c r="C8" s="59"/>
      <c r="D8" s="58"/>
      <c r="E8" s="59"/>
      <c r="F8" s="59"/>
      <c r="G8" s="59"/>
      <c r="H8" s="17"/>
    </row>
    <row r="9" spans="1:8">
      <c r="B9" s="63" t="s">
        <v>4</v>
      </c>
      <c r="C9" s="64"/>
      <c r="D9" s="49" t="s">
        <v>5</v>
      </c>
      <c r="E9" s="49"/>
      <c r="F9" s="49"/>
      <c r="G9" s="65"/>
      <c r="H9" s="17"/>
    </row>
    <row r="10" spans="1:8">
      <c r="B10" s="52"/>
      <c r="C10" s="52"/>
      <c r="D10" s="33"/>
      <c r="E10"/>
      <c r="F10"/>
      <c r="G10" s="34"/>
      <c r="H10" s="17"/>
    </row>
    <row r="11" spans="1:8">
      <c r="B11" s="49" t="s">
        <v>6</v>
      </c>
      <c r="C11" s="49"/>
      <c r="D11" s="33"/>
      <c r="E11"/>
      <c r="F11"/>
      <c r="G11" s="34"/>
      <c r="H11" s="17"/>
    </row>
    <row r="12" spans="1:8">
      <c r="B12" s="50"/>
      <c r="C12" s="51"/>
      <c r="D12" s="53"/>
      <c r="E12" s="54"/>
      <c r="F12" s="54"/>
      <c r="G12" s="55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7</v>
      </c>
      <c r="C14" s="19" t="s">
        <v>21</v>
      </c>
      <c r="D14" s="19" t="s">
        <v>8</v>
      </c>
      <c r="E14" s="15"/>
      <c r="F14" s="12"/>
      <c r="G14" s="16"/>
      <c r="H14" s="17"/>
    </row>
    <row r="15" spans="1:8">
      <c r="B15" s="20">
        <f>SUM(H18:H25)</f>
        <v>1806000</v>
      </c>
      <c r="C15" s="21">
        <f>COUNT(D18:D25)</f>
        <v>8</v>
      </c>
      <c r="D15" s="21">
        <f>SUM(D18:D25)</f>
        <v>20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38" t="s">
        <v>22</v>
      </c>
      <c r="C17" s="39" t="s">
        <v>9</v>
      </c>
      <c r="D17" s="39" t="s">
        <v>10</v>
      </c>
      <c r="E17" s="39" t="s">
        <v>16</v>
      </c>
      <c r="F17" s="39" t="s">
        <v>11</v>
      </c>
      <c r="G17" s="39" t="s">
        <v>17</v>
      </c>
      <c r="H17" s="40" t="s">
        <v>19</v>
      </c>
    </row>
    <row r="18" spans="2:8">
      <c r="B18" s="32" t="s">
        <v>30</v>
      </c>
      <c r="C18" s="31" t="str" cm="1">
        <f t="array" ref="C18">_xlfn.REGEXEXTRACT(_xlfn.WEBSERVICE("https://seg-server.vercel.app/api/books/isbn/"&amp;B18), "\d+")</f>
        <v>9781685912758</v>
      </c>
      <c r="D18" s="41">
        <v>3</v>
      </c>
      <c r="E18" s="45" cm="1">
        <f t="array" ref="E18">_xlfn.NUMBERVALUE(_xlfn.REGEXEXTRACT(_xlfn.WEBSERVICE("https://seg-server.vercel.app/api/books/price/"&amp;C18), "\d+"))</f>
        <v>140000</v>
      </c>
      <c r="F18" s="42">
        <v>0.3</v>
      </c>
      <c r="G18" s="43">
        <f t="shared" ref="G18" si="0">(E18-(E18*F18))</f>
        <v>98000</v>
      </c>
      <c r="H18" s="43">
        <f t="shared" ref="H18" si="1">(E18-(E18*F18))*(D18)</f>
        <v>294000</v>
      </c>
    </row>
    <row r="19" spans="2:8">
      <c r="B19" s="32" t="s">
        <v>31</v>
      </c>
      <c r="C19" s="31" t="str" cm="1">
        <f t="array" ref="C19">_xlfn.REGEXEXTRACT(_xlfn.WEBSERVICE("https://seg-server.vercel.app/api/books/isbn/"&amp;B19), "\d+")</f>
        <v>9781685912772</v>
      </c>
      <c r="D19" s="41">
        <v>4</v>
      </c>
      <c r="E19" s="45" cm="1">
        <f t="array" ref="E19">_xlfn.NUMBERVALUE(_xlfn.REGEXEXTRACT(_xlfn.WEBSERVICE("https://seg-server.vercel.app/api/books/price/"&amp;C19), "\d+"))</f>
        <v>140000</v>
      </c>
      <c r="F19" s="42">
        <v>0.3</v>
      </c>
      <c r="G19" s="43">
        <f t="shared" ref="G19:G25" si="2">(E19-(E19*F19))</f>
        <v>98000</v>
      </c>
      <c r="H19" s="43">
        <f t="shared" ref="H19:H25" si="3">(E19-(E19*F19))*(D19)</f>
        <v>392000</v>
      </c>
    </row>
    <row r="20" spans="2:8">
      <c r="B20" s="32" t="s">
        <v>32</v>
      </c>
      <c r="C20" s="31" t="str" cm="1">
        <f t="array" ref="C20">_xlfn.REGEXEXTRACT(_xlfn.WEBSERVICE("https://seg-server.vercel.app/api/books/isbn/"&amp;B20), "\d+")</f>
        <v>9781685912796</v>
      </c>
      <c r="D20" s="41">
        <v>2</v>
      </c>
      <c r="E20" s="45" cm="1">
        <f t="array" ref="E20">_xlfn.NUMBERVALUE(_xlfn.REGEXEXTRACT(_xlfn.WEBSERVICE("https://seg-server.vercel.app/api/books/price/"&amp;C20), "\d+"))</f>
        <v>140000</v>
      </c>
      <c r="F20" s="42">
        <v>0.3</v>
      </c>
      <c r="G20" s="43">
        <f t="shared" si="2"/>
        <v>98000</v>
      </c>
      <c r="H20" s="43">
        <f t="shared" si="3"/>
        <v>196000</v>
      </c>
    </row>
    <row r="21" spans="2:8">
      <c r="B21" s="32" t="s">
        <v>33</v>
      </c>
      <c r="C21" s="31" t="str" cm="1">
        <f t="array" ref="C21">_xlfn.REGEXEXTRACT(_xlfn.WEBSERVICE("https://seg-server.vercel.app/api/books/isbn/"&amp;B21), "\d+")</f>
        <v>9781685912819</v>
      </c>
      <c r="D21" s="41">
        <v>1</v>
      </c>
      <c r="E21" s="45" cm="1">
        <f t="array" ref="E21">_xlfn.NUMBERVALUE(_xlfn.REGEXEXTRACT(_xlfn.WEBSERVICE("https://seg-server.vercel.app/api/books/price/"&amp;C21), "\d+"))</f>
        <v>140000</v>
      </c>
      <c r="F21" s="42">
        <v>0.3</v>
      </c>
      <c r="G21" s="43">
        <f t="shared" si="2"/>
        <v>98000</v>
      </c>
      <c r="H21" s="43">
        <f t="shared" si="3"/>
        <v>98000</v>
      </c>
    </row>
    <row r="22" spans="2:8">
      <c r="B22" s="32" t="s">
        <v>26</v>
      </c>
      <c r="C22" s="31" t="str" cm="1">
        <f t="array" ref="C22">_xlfn.REGEXEXTRACT(_xlfn.WEBSERVICE("https://seg-server.vercel.app/api/books/isbn/"&amp;B22), "\d+")</f>
        <v>9781685912765</v>
      </c>
      <c r="D22" s="41">
        <v>3</v>
      </c>
      <c r="E22" s="45" cm="1">
        <f t="array" ref="E22">_xlfn.NUMBERVALUE(_xlfn.REGEXEXTRACT(_xlfn.WEBSERVICE("https://seg-server.vercel.app/api/books/price/"&amp;C22), "\d+"))</f>
        <v>118000</v>
      </c>
      <c r="F22" s="42">
        <v>0.3</v>
      </c>
      <c r="G22" s="43">
        <f t="shared" si="2"/>
        <v>82600</v>
      </c>
      <c r="H22" s="43">
        <f t="shared" si="3"/>
        <v>247800</v>
      </c>
    </row>
    <row r="23" spans="2:8">
      <c r="B23" s="32" t="s">
        <v>27</v>
      </c>
      <c r="C23" s="31" t="str" cm="1">
        <f t="array" ref="C23">_xlfn.REGEXEXTRACT(_xlfn.WEBSERVICE("https://seg-server.vercel.app/api/books/isbn/"&amp;B23), "\d+")</f>
        <v>9781685912789</v>
      </c>
      <c r="D23" s="41">
        <v>4</v>
      </c>
      <c r="E23" s="45" cm="1">
        <f t="array" ref="E23">_xlfn.NUMBERVALUE(_xlfn.REGEXEXTRACT(_xlfn.WEBSERVICE("https://seg-server.vercel.app/api/books/price/"&amp;C23), "\d+"))</f>
        <v>118000</v>
      </c>
      <c r="F23" s="42">
        <v>0.3</v>
      </c>
      <c r="G23" s="43">
        <f t="shared" si="2"/>
        <v>82600</v>
      </c>
      <c r="H23" s="43">
        <f t="shared" si="3"/>
        <v>330400</v>
      </c>
    </row>
    <row r="24" spans="2:8">
      <c r="B24" s="32" t="s">
        <v>28</v>
      </c>
      <c r="C24" s="31" t="str" cm="1">
        <f t="array" ref="C24">_xlfn.REGEXEXTRACT(_xlfn.WEBSERVICE("https://seg-server.vercel.app/api/books/isbn/"&amp;B24), "\d+")</f>
        <v>9781685912802</v>
      </c>
      <c r="D24" s="41">
        <v>2</v>
      </c>
      <c r="E24" s="45" cm="1">
        <f t="array" ref="E24">_xlfn.NUMBERVALUE(_xlfn.REGEXEXTRACT(_xlfn.WEBSERVICE("https://seg-server.vercel.app/api/books/price/"&amp;C24), "\d+"))</f>
        <v>118000</v>
      </c>
      <c r="F24" s="42">
        <v>0.3</v>
      </c>
      <c r="G24" s="43">
        <f t="shared" si="2"/>
        <v>82600</v>
      </c>
      <c r="H24" s="43">
        <f t="shared" si="3"/>
        <v>165200</v>
      </c>
    </row>
    <row r="25" spans="2:8">
      <c r="B25" s="32" t="s">
        <v>29</v>
      </c>
      <c r="C25" s="31" t="str" cm="1">
        <f t="array" ref="C25">_xlfn.REGEXEXTRACT(_xlfn.WEBSERVICE("https://seg-server.vercel.app/api/books/isbn/"&amp;B25), "\d+")</f>
        <v>9781685912826</v>
      </c>
      <c r="D25" s="41">
        <v>1</v>
      </c>
      <c r="E25" s="45" cm="1">
        <f t="array" ref="E25">_xlfn.NUMBERVALUE(_xlfn.REGEXEXTRACT(_xlfn.WEBSERVICE("https://seg-server.vercel.app/api/books/price/"&amp;C25), "\d+"))</f>
        <v>118000</v>
      </c>
      <c r="F25" s="42">
        <v>0.3</v>
      </c>
      <c r="G25" s="43">
        <f t="shared" si="2"/>
        <v>82600</v>
      </c>
      <c r="H25" s="43">
        <f t="shared" si="3"/>
        <v>82600</v>
      </c>
    </row>
    <row r="26" spans="2:8">
      <c r="G26" s="29" t="s">
        <v>20</v>
      </c>
      <c r="H26" s="37">
        <f>SUM(H18:H25)</f>
        <v>1806000</v>
      </c>
    </row>
    <row r="28" spans="2:8">
      <c r="B28" s="23"/>
      <c r="C28" s="24"/>
      <c r="D28" s="24"/>
      <c r="E28" s="24"/>
      <c r="F28" s="24"/>
      <c r="G28" s="24"/>
      <c r="H28" s="25"/>
    </row>
    <row r="29" spans="2:8">
      <c r="B29" s="30" t="s">
        <v>18</v>
      </c>
      <c r="E29" s="4"/>
      <c r="G29" s="4"/>
      <c r="H29" s="27"/>
    </row>
    <row r="30" spans="2:8">
      <c r="B30" s="35"/>
      <c r="E30" s="4"/>
      <c r="G30" s="4"/>
      <c r="H30" s="27"/>
    </row>
    <row r="31" spans="2:8">
      <c r="B31" s="26"/>
      <c r="E31" s="4"/>
      <c r="G31" s="4"/>
      <c r="H31" s="27"/>
    </row>
    <row r="32" spans="2:8">
      <c r="B32" s="28" t="s">
        <v>12</v>
      </c>
      <c r="E32" s="4"/>
      <c r="G32" s="4"/>
      <c r="H32" s="27"/>
    </row>
    <row r="33" spans="2:8">
      <c r="B33" s="26"/>
      <c r="E33" s="4"/>
      <c r="G33" s="4"/>
      <c r="H33" s="27"/>
    </row>
    <row r="34" spans="2:8" ht="39" customHeight="1">
      <c r="B34" s="26"/>
      <c r="E34" s="4"/>
      <c r="G34" s="4"/>
      <c r="H34" s="27"/>
    </row>
    <row r="35" spans="2:8">
      <c r="B35" s="26" t="s">
        <v>13</v>
      </c>
      <c r="C35" s="22"/>
      <c r="D35" s="22"/>
      <c r="E35" s="22"/>
      <c r="F35" s="22"/>
      <c r="G35" s="22"/>
      <c r="H35" s="27"/>
    </row>
    <row r="36" spans="2:8">
      <c r="B36" s="26"/>
      <c r="E36" s="4"/>
      <c r="G36" s="4"/>
      <c r="H36" s="27"/>
    </row>
    <row r="37" spans="2:8">
      <c r="B37" s="46" t="s">
        <v>14</v>
      </c>
      <c r="C37" s="47"/>
      <c r="D37" s="47"/>
      <c r="E37" s="47"/>
      <c r="F37" s="47"/>
      <c r="G37" s="47"/>
      <c r="H37" s="48"/>
    </row>
  </sheetData>
  <mergeCells count="11">
    <mergeCell ref="D7:G8"/>
    <mergeCell ref="B7:C8"/>
    <mergeCell ref="B6:C6"/>
    <mergeCell ref="D6:G6"/>
    <mergeCell ref="B9:C9"/>
    <mergeCell ref="D9:G9"/>
    <mergeCell ref="B37:H37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2025-08-12T10:27:26Z</cp:lastPrinted>
  <dcterms:created xsi:type="dcterms:W3CDTF">2023-07-26T09:32:00Z</dcterms:created>
  <dcterms:modified xsi:type="dcterms:W3CDTF">2025-08-20T02:03:03Z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