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F316A257-E73B-46CA-B04E-F6B434A5371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E18" i="1" s="1" a="1"/>
  <c r="E18" i="1" s="1"/>
  <c r="G18" i="1" l="1"/>
  <c r="H18" i="1"/>
  <c r="D15" i="1" l="1"/>
  <c r="C15" i="1"/>
  <c r="B15" i="1" l="1"/>
  <c r="H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<sst xmlns="http://schemas.openxmlformats.org/spreadsheetml/2006/main" count="28" uniqueCount="28">
  <si>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</si>
  <si>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</si>
  <si>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</si>
  <si>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</si>
  <si>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</si>
  <si>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</si>
  <si>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</si>
  <si>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</si>
  <si>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</si>
  <si>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</si>
  <si>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</si>
  <si>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</si>
  <si>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</si>
  <si>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</si>
  <si>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</si>
  <si>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</si>
  <si>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</si>
  <si>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</si>
  <si>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</si>
  <si>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</si>
  <si>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</si>
  <si>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</si>
  <si>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</si>
  <si>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COM1061125</t>
  </si>
  <si>
    <t>13/11/2025</t>
  </si>
  <si>
    <t>Mr. Bezzaliel - Smart Holy Kids</t>
  </si>
  <si>
    <t>Jl. Taman Kopo Indah 2 Blok C3/1, Rahayu, Margaasih, Bandung Regency, West Java 40218</t>
  </si>
  <si>
    <t>Boost English 2 - Student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</si>
</sst>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0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3" fillId="0" borderId="23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 wrapText="1" indent="1" readingOrder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481852</xdr:colOff>
      <xdr:row>2</xdr:row>
      <xdr:rowOff>44822</xdr:rowOff>
    </xdr:from>
    <xdr:to>
      <xdr:col>7</xdr:col>
      <xdr:colOff>2215813</xdr:colOff>
      <xdr:row>3</xdr:row>
      <xdr:rowOff>302558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654617" y="448234"/>
          <a:ext cx="1733961" cy="15800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topLeftCell="A3" zoomScale="85" zoomScaleNormal="85" workbookViewId="0">
      <selection activeCell="F20" sqref="F20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0" t="s">
        <v>15</v>
      </c>
      <c r="E5" s="33" t="s">
        <v>23</v>
      </c>
      <c r="F5" s="40" t="s">
        <v>1</v>
      </c>
      <c r="G5" s="39" t="s">
        <v>24</v>
      </c>
    </row>
    <row r="6" spans="1:8">
      <c r="B6" s="49" t="s">
        <v>2</v>
      </c>
      <c r="C6" s="50"/>
      <c r="D6" s="51" t="s">
        <v>3</v>
      </c>
      <c r="E6" s="51"/>
      <c r="F6" s="51"/>
      <c r="G6" s="51"/>
      <c r="H6" s="16"/>
    </row>
    <row r="7" spans="1:8" ht="15.75" customHeight="1">
      <c r="B7" s="48" t="s">
        <v>25</v>
      </c>
      <c r="C7" s="48"/>
      <c r="D7" s="45" t="s">
        <v>26</v>
      </c>
      <c r="E7" s="46"/>
      <c r="F7" s="46"/>
      <c r="G7" s="46"/>
      <c r="H7" s="16"/>
    </row>
    <row r="8" spans="1:8">
      <c r="B8" s="48"/>
      <c r="C8" s="48"/>
      <c r="D8" s="47"/>
      <c r="E8" s="48"/>
      <c r="F8" s="48"/>
      <c r="G8" s="48"/>
      <c r="H8" s="16"/>
    </row>
    <row r="9" spans="1:8">
      <c r="B9" s="52" t="s">
        <v>4</v>
      </c>
      <c r="C9" s="53"/>
      <c r="D9" s="51" t="s">
        <v>5</v>
      </c>
      <c r="E9" s="51"/>
      <c r="F9" s="51"/>
      <c r="G9" s="54"/>
      <c r="H9" s="16"/>
    </row>
    <row r="10" spans="1:8">
      <c r="B10" s="59"/>
      <c r="C10" s="59"/>
      <c r="D10" s="30"/>
      <c r="E10"/>
      <c r="F10"/>
      <c r="G10" s="31"/>
      <c r="H10" s="16"/>
    </row>
    <row r="11" spans="1:8">
      <c r="B11" s="51" t="s">
        <v>6</v>
      </c>
      <c r="C11" s="51"/>
      <c r="D11" s="30"/>
      <c r="E11"/>
      <c r="F11"/>
      <c r="G11" s="31"/>
      <c r="H11" s="16"/>
    </row>
    <row r="12" spans="1:8">
      <c r="B12" s="58">
        <v>8562157777</v>
      </c>
      <c r="C12" s="58"/>
      <c r="D12" s="60"/>
      <c r="E12" s="61"/>
      <c r="F12" s="61"/>
      <c r="G12" s="62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SUM(H18:H18)</f>
        <v>140000</v>
      </c>
      <c r="C15" s="20">
        <f>COUNT(D18:D18)</f>
        <v>1</v>
      </c>
      <c r="D15" s="20">
        <f>SUM(D18:D18)</f>
        <v>1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43" t="s">
        <v>22</v>
      </c>
      <c r="C17" s="35" t="s">
        <v>9</v>
      </c>
      <c r="D17" s="35" t="s">
        <v>10</v>
      </c>
      <c r="E17" s="35" t="s">
        <v>16</v>
      </c>
      <c r="F17" s="35" t="s">
        <v>11</v>
      </c>
      <c r="G17" s="35" t="s">
        <v>17</v>
      </c>
      <c r="H17" s="36" t="s">
        <v>19</v>
      </c>
    </row>
    <row r="18" spans="2:8">
      <c r="B18" s="44" t="s">
        <v>27</v>
      </c>
      <c r="C18" s="42" t="str" cm="1">
        <f t="array" ref="C18">_xlfn.REGEXEXTRACT(_xlfn.WEBSERVICE("https://seg-server.vercel.app/api/books/isbn/"&amp;B18), "\d+")</f>
        <v>9781685912772</v>
      </c>
      <c r="D18" s="41">
        <v>1</v>
      </c>
      <c r="E18" s="38" cm="1">
        <f t="array" ref="E18">_xlfn.NUMBERVALUE(_xlfn.REGEXEXTRACT(_xlfn.WEBSERVICE("https://seg-server.vercel.app/api/books/price/"&amp;C18), "\d+"))</f>
        <v>140000</v>
      </c>
      <c r="F18" s="63"/>
      <c r="G18" s="37">
        <f t="shared" ref="G18" si="0">(E18-(E18*F18))</f>
        <v>140000</v>
      </c>
      <c r="H18" s="37">
        <f t="shared" ref="H18" si="1">(E18-(E18*F18))*(D18)</f>
        <v>140000</v>
      </c>
    </row>
    <row r="19" spans="2:8">
      <c r="G19" s="28" t="s">
        <v>20</v>
      </c>
      <c r="H19" s="34">
        <f>SUM(H18:H18)</f>
        <v>140000</v>
      </c>
    </row>
    <row r="21" spans="2:8">
      <c r="B21" s="22"/>
      <c r="C21" s="23"/>
      <c r="D21" s="23"/>
      <c r="E21" s="23"/>
      <c r="F21" s="23"/>
      <c r="G21" s="23"/>
      <c r="H21" s="24"/>
    </row>
    <row r="22" spans="2:8">
      <c r="B22" s="29" t="s">
        <v>18</v>
      </c>
      <c r="E22" s="4"/>
      <c r="G22" s="4"/>
      <c r="H22" s="26"/>
    </row>
    <row r="23" spans="2:8">
      <c r="B23" s="32"/>
      <c r="E23" s="4"/>
      <c r="G23" s="4"/>
      <c r="H23" s="26"/>
    </row>
    <row r="24" spans="2:8">
      <c r="B24" s="32"/>
      <c r="E24" s="4"/>
      <c r="G24" s="4"/>
      <c r="H24" s="26"/>
    </row>
    <row r="25" spans="2:8">
      <c r="B25" s="32"/>
      <c r="E25" s="4"/>
      <c r="G25" s="4"/>
      <c r="H25" s="26"/>
    </row>
    <row r="26" spans="2:8">
      <c r="B26" s="25"/>
      <c r="E26" s="4"/>
      <c r="G26" s="4"/>
      <c r="H26" s="26"/>
    </row>
    <row r="27" spans="2:8">
      <c r="B27" s="27" t="s">
        <v>12</v>
      </c>
      <c r="E27" s="4"/>
      <c r="G27" s="4"/>
      <c r="H27" s="26"/>
    </row>
    <row r="28" spans="2:8">
      <c r="B28" s="25"/>
      <c r="E28" s="4"/>
      <c r="G28" s="4"/>
      <c r="H28" s="26"/>
    </row>
    <row r="29" spans="2:8" ht="39" customHeight="1">
      <c r="B29" s="25"/>
      <c r="E29" s="4"/>
      <c r="G29" s="4"/>
      <c r="H29" s="26"/>
    </row>
    <row r="30" spans="2:8">
      <c r="B30" s="25" t="s">
        <v>13</v>
      </c>
      <c r="C30" s="21"/>
      <c r="D30" s="21"/>
      <c r="E30" s="21"/>
      <c r="F30" s="21"/>
      <c r="G30" s="21"/>
      <c r="H30" s="26"/>
    </row>
    <row r="31" spans="2:8">
      <c r="B31" s="25"/>
      <c r="E31" s="4"/>
      <c r="G31" s="4"/>
      <c r="H31" s="26"/>
    </row>
    <row r="32" spans="2:8">
      <c r="B32" s="55" t="s">
        <v>14</v>
      </c>
      <c r="C32" s="56"/>
      <c r="D32" s="56"/>
      <c r="E32" s="56"/>
      <c r="F32" s="56"/>
      <c r="G32" s="56"/>
      <c r="H32" s="57"/>
    </row>
  </sheetData>
  <mergeCells count="11">
    <mergeCell ref="B32:H32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2025-11-13T15:38:05Z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