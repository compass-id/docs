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D:\Documents\SEG\docs\Invoice\"/>
    </mc:Choice>
  </mc:AlternateContent>
  <xr:revisionPtr revIDLastSave="0" documentId="8_{3E657C8B-5941-4DC7-9658-A6434C54FD51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5" i="1" l="1"/>
  <c r="B15" i="1"/>
  <c r="C15" i="1"/>
  <c r="C18" i="1" a="1"/>
  <c r="C18" i="1" s="1"/>
  <c r="E18" i="1" s="1" a="1"/>
  <c r="E18" i="1" s="1"/>
  <c r="C19" i="1" a="1"/>
  <c r="C19" i="1" s="1"/>
  <c r="E19" i="1" s="1" a="1"/>
  <c r="E19" i="1" s="1"/>
  <c r="G18" i="1" l="1"/>
  <c r="H18" i="1"/>
  <c r="H19" i="1"/>
  <c r="G19" i="1"/>
  <c r="H20" i="1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<sst xmlns="http://schemas.openxmlformats.org/spreadsheetml/2006/main" count="30" uniqueCount="30">
  <si>
    <t>COMMERCIAL INVOICE</t>
  </si>
  <si>
    <t>Date</t>
  </si>
  <si>
    <t>For Account:</t>
  </si>
  <si>
    <t>Address:</t>
  </si>
  <si>
    <t>Email:</t>
  </si>
  <si>
    <t>Remarks:</t>
  </si>
  <si>
    <t>Telephone:</t>
  </si>
  <si>
    <t>Total Amount</t>
  </si>
  <si>
    <t>Total Quantity</t>
  </si>
  <si>
    <t>ISBN</t>
  </si>
  <si>
    <t>Quantity</t>
  </si>
  <si>
    <t>Discount (%)</t>
  </si>
  <si>
    <t>Regards,</t>
  </si>
  <si>
    <t>PT Solusi Edukasi Gemilang</t>
  </si>
  <si>
    <t>PT SOLUSI EDUKASI GEMILANG - 18 Office Park Building, 21th floor Unit C, Jl. TB. Simatupang No. 18, Kec. Pasar Minggu Jakarta Selatan 12520</t>
  </si>
  <si>
    <t>ID</t>
  </si>
  <si>
    <t>Unit (Rp.)</t>
  </si>
  <si>
    <t>Amount (Rp.)</t>
  </si>
  <si>
    <t>Transfer to : BCA 4685015898 on behalf PT Solusi Edukasi Gemilang</t>
  </si>
  <si>
    <t>Total (Rp.)</t>
  </si>
  <si>
    <t>Grand Total (Rp.)</t>
  </si>
  <si>
    <t>Total Items</t>
  </si>
  <si>
    <t>Description of items</t>
  </si>
  <si>
    <t>COM1080825</t>
  </si>
  <si>
    <t>22/08/2025</t>
  </si>
  <si>
    <t>Odyssey 1 - Student Book and Workbook</t>
  </si>
  <si>
    <t>Odyssey 4 - Student Book and Workbook</t>
  </si>
  <si>
    <t>Ms. Vera</t>
  </si>
  <si>
    <t>(021) 88872723</t>
  </si>
  <si>
    <t>Jl. Boulevard Hijau Raya Blok A1 No.1, RT.006/RW.009, Pejuang, Kecamatan Medan Satria, Kota Bks, Jawa Barat 17131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</si>
</sst>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Rp-3809]* #,##0.00_-;\-[$Rp-3809]* #,##0.00_-;_-[$Rp-3809]* &quot;-&quot;??_-;_-@_-"/>
    <numFmt numFmtId="165" formatCode="[$Rp-3809]#,##0.00"/>
  </numFmts>
  <fonts count="15">
    <font>
      <sz val="11"/>
      <color rgb="FF000000"/>
      <name val="Calibri"/>
      <charset val="134"/>
    </font>
    <font>
      <sz val="12"/>
      <color rgb="FF000000"/>
      <name val="Calibri"/>
      <family val="2"/>
    </font>
    <font>
      <b/>
      <sz val="36"/>
      <color rgb="FF000000"/>
      <name val="Calibri"/>
      <family val="2"/>
    </font>
    <font>
      <sz val="16"/>
      <color rgb="FF000000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u/>
      <sz val="11"/>
      <color theme="10"/>
      <name val="Calibri"/>
      <family val="2"/>
    </font>
    <font>
      <sz val="12"/>
      <color rgb="FF222222"/>
      <name val="Arial"/>
      <family val="2"/>
    </font>
    <font>
      <sz val="8"/>
      <name val="Calibri"/>
      <family val="2"/>
    </font>
    <font>
      <sz val="12"/>
      <color rgb="FF000000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/>
      <diagonal/>
    </border>
    <border>
      <left/>
      <right/>
      <top style="thin">
        <color rgb="FF505050"/>
      </top>
      <bottom/>
      <diagonal/>
    </border>
    <border>
      <left/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/>
      <top/>
      <bottom/>
      <diagonal/>
    </border>
    <border>
      <left/>
      <right style="thin">
        <color rgb="FF505050"/>
      </right>
      <top/>
      <bottom/>
      <diagonal/>
    </border>
    <border>
      <left/>
      <right/>
      <top style="thin">
        <color rgb="FF505050"/>
      </top>
      <bottom style="thin">
        <color rgb="FF505050"/>
      </bottom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505050"/>
      </right>
      <top/>
      <bottom style="thin">
        <color rgb="FF505050"/>
      </bottom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  <border>
      <left style="thin">
        <color rgb="FF505050"/>
      </left>
      <right/>
      <top/>
      <bottom style="thin">
        <color rgb="FF505050"/>
      </bottom>
      <diagonal/>
    </border>
    <border>
      <left/>
      <right/>
      <top/>
      <bottom style="thin">
        <color rgb="FF505050"/>
      </bottom>
      <diagonal/>
    </border>
    <border>
      <left style="thin">
        <color rgb="FF505050"/>
      </left>
      <right style="thin">
        <color indexed="64"/>
      </right>
      <top style="thin">
        <color rgb="FF505050"/>
      </top>
      <bottom style="thin">
        <color rgb="FF505050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rgb="FF505050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65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 vertical="center" indent="1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7" fillId="0" borderId="0" xfId="0" applyFont="1" applyAlignment="1">
      <alignment horizontal="left" vertical="center" indent="1"/>
    </xf>
    <xf numFmtId="0" fontId="7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top"/>
    </xf>
    <xf numFmtId="0" fontId="8" fillId="0" borderId="2" xfId="0" applyFont="1" applyBorder="1" applyAlignment="1">
      <alignment horizontal="left" vertical="center" indent="1"/>
    </xf>
    <xf numFmtId="164" fontId="8" fillId="0" borderId="3" xfId="0" applyNumberFormat="1" applyFont="1" applyBorder="1" applyAlignment="1">
      <alignment horizontal="center" vertical="center"/>
    </xf>
    <xf numFmtId="165" fontId="9" fillId="0" borderId="2" xfId="0" applyNumberFormat="1" applyFont="1" applyBorder="1" applyAlignment="1">
      <alignment horizontal="left" vertical="center" indent="2"/>
    </xf>
    <xf numFmtId="0" fontId="7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4" xfId="0" applyFont="1" applyBorder="1" applyAlignment="1">
      <alignment horizontal="left" vertical="center" indent="1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left" vertical="top"/>
    </xf>
    <xf numFmtId="0" fontId="1" fillId="0" borderId="7" xfId="0" applyFont="1" applyBorder="1" applyAlignment="1">
      <alignment horizontal="left" vertical="center" indent="1"/>
    </xf>
    <xf numFmtId="0" fontId="1" fillId="0" borderId="8" xfId="0" applyFont="1" applyBorder="1" applyAlignment="1">
      <alignment horizontal="left" vertical="top"/>
    </xf>
    <xf numFmtId="0" fontId="5" fillId="0" borderId="7" xfId="0" applyFont="1" applyBorder="1" applyAlignment="1">
      <alignment horizontal="left" vertical="center" inden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left" vertical="center" indent="1"/>
    </xf>
    <xf numFmtId="1" fontId="13" fillId="0" borderId="13" xfId="0" applyNumberFormat="1" applyFont="1" applyBorder="1" applyAlignment="1">
      <alignment horizontal="center" vertical="center" wrapText="1"/>
    </xf>
    <xf numFmtId="0" fontId="14" fillId="0" borderId="13" xfId="0" applyFont="1" applyBorder="1" applyAlignment="1">
      <alignment horizontal="left" vertical="top" wrapText="1"/>
    </xf>
    <xf numFmtId="0" fontId="0" fillId="0" borderId="7" xfId="0" applyBorder="1"/>
    <xf numFmtId="0" fontId="0" fillId="0" borderId="20" xfId="0" applyBorder="1"/>
    <xf numFmtId="0" fontId="9" fillId="0" borderId="22" xfId="0" applyFont="1" applyBorder="1" applyAlignment="1">
      <alignment horizontal="left" vertical="center" indent="1"/>
    </xf>
    <xf numFmtId="0" fontId="1" fillId="0" borderId="1" xfId="0" applyFont="1" applyBorder="1" applyAlignment="1">
      <alignment horizontal="center" vertical="center"/>
    </xf>
    <xf numFmtId="164" fontId="11" fillId="2" borderId="16" xfId="0" applyNumberFormat="1" applyFont="1" applyFill="1" applyBorder="1" applyAlignment="1">
      <alignment horizontal="center" vertical="center" wrapText="1"/>
    </xf>
    <xf numFmtId="0" fontId="8" fillId="0" borderId="13" xfId="0" applyFont="1" applyBorder="1" applyAlignment="1">
      <alignment horizontal="left" vertical="center"/>
    </xf>
    <xf numFmtId="0" fontId="8" fillId="0" borderId="13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top"/>
    </xf>
    <xf numFmtId="0" fontId="11" fillId="2" borderId="13" xfId="0" applyFont="1" applyFill="1" applyBorder="1" applyAlignment="1">
      <alignment horizontal="center" vertical="center" wrapText="1"/>
    </xf>
    <xf numFmtId="9" fontId="11" fillId="2" borderId="13" xfId="0" applyNumberFormat="1" applyFont="1" applyFill="1" applyBorder="1" applyAlignment="1">
      <alignment horizontal="center" vertical="center" wrapText="1"/>
    </xf>
    <xf numFmtId="164" fontId="11" fillId="2" borderId="13" xfId="0" applyNumberFormat="1" applyFont="1" applyFill="1" applyBorder="1" applyAlignment="1">
      <alignment horizontal="center" vertical="center" wrapText="1"/>
    </xf>
    <xf numFmtId="164" fontId="13" fillId="0" borderId="13" xfId="0" applyNumberFormat="1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8" fillId="0" borderId="3" xfId="0" applyFont="1" applyBorder="1" applyAlignment="1">
      <alignment horizontal="left" vertical="center" indent="1"/>
    </xf>
    <xf numFmtId="0" fontId="1" fillId="0" borderId="3" xfId="0" quotePrefix="1" applyFont="1" applyBorder="1" applyAlignment="1">
      <alignment horizontal="left" vertical="center" indent="1"/>
    </xf>
    <xf numFmtId="0" fontId="7" fillId="0" borderId="3" xfId="0" quotePrefix="1" applyFont="1" applyBorder="1" applyAlignment="1">
      <alignment horizontal="left" vertical="center" indent="1"/>
    </xf>
    <xf numFmtId="0" fontId="10" fillId="0" borderId="3" xfId="1" applyBorder="1" applyAlignment="1">
      <alignment horizontal="left" vertical="center" indent="1"/>
    </xf>
    <xf numFmtId="0" fontId="7" fillId="0" borderId="17" xfId="0" applyFont="1" applyBorder="1" applyAlignment="1">
      <alignment horizontal="left" vertical="center" indent="1"/>
    </xf>
    <xf numFmtId="0" fontId="7" fillId="0" borderId="18" xfId="0" applyFont="1" applyBorder="1" applyAlignment="1">
      <alignment horizontal="left" vertical="center" indent="1"/>
    </xf>
    <xf numFmtId="0" fontId="7" fillId="0" borderId="21" xfId="0" applyFont="1" applyBorder="1" applyAlignment="1">
      <alignment horizontal="left" vertical="center" indent="1"/>
    </xf>
    <xf numFmtId="0" fontId="1" fillId="0" borderId="15" xfId="0" applyFont="1" applyBorder="1" applyAlignment="1">
      <alignment horizontal="left" vertical="center" indent="1"/>
    </xf>
    <xf numFmtId="0" fontId="7" fillId="0" borderId="16" xfId="0" applyFont="1" applyBorder="1" applyAlignment="1">
      <alignment horizontal="left" vertical="center" indent="1"/>
    </xf>
    <xf numFmtId="0" fontId="7" fillId="0" borderId="10" xfId="0" applyFont="1" applyBorder="1" applyAlignment="1">
      <alignment horizontal="left" vertical="center" indent="1"/>
    </xf>
    <xf numFmtId="0" fontId="7" fillId="0" borderId="3" xfId="0" applyFont="1" applyBorder="1" applyAlignment="1">
      <alignment horizontal="left" vertical="center" indent="1"/>
    </xf>
    <xf numFmtId="0" fontId="1" fillId="0" borderId="3" xfId="0" applyFont="1" applyBorder="1" applyAlignment="1">
      <alignment horizontal="left" vertical="center" indent="1"/>
    </xf>
    <xf numFmtId="0" fontId="8" fillId="0" borderId="1" xfId="0" applyFont="1" applyBorder="1" applyAlignment="1">
      <alignment horizontal="left" vertical="center" indent="1"/>
    </xf>
    <xf numFmtId="0" fontId="8" fillId="0" borderId="14" xfId="0" applyFont="1" applyBorder="1" applyAlignment="1">
      <alignment horizontal="left" vertical="center" indent="1"/>
    </xf>
    <xf numFmtId="0" fontId="8" fillId="0" borderId="16" xfId="0" applyFont="1" applyBorder="1" applyAlignment="1">
      <alignment horizontal="left" vertical="center" indent="1"/>
    </xf>
    <xf numFmtId="0" fontId="8" fillId="0" borderId="17" xfId="0" applyFont="1" applyBorder="1" applyAlignment="1">
      <alignment horizontal="left" vertical="center" indent="1"/>
    </xf>
    <xf numFmtId="0" fontId="8" fillId="0" borderId="19" xfId="0" applyFont="1" applyBorder="1" applyAlignment="1">
      <alignment horizontal="left" vertical="center" indent="1"/>
    </xf>
  </cellXfs>
  <cellStyles count="2">
    <cellStyle name="Hyperlink" xfId="1" builtinId="8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1042147</xdr:colOff>
      <xdr:row>2</xdr:row>
      <xdr:rowOff>100852</xdr:rowOff>
    </xdr:from>
    <xdr:to>
      <xdr:col>7</xdr:col>
      <xdr:colOff>232372</xdr:colOff>
      <xdr:row>3</xdr:row>
      <xdr:rowOff>358588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195810" y="496570"/>
          <a:ext cx="1804670" cy="15817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166714</xdr:colOff>
      <xdr:row>27</xdr:row>
      <xdr:rowOff>168088</xdr:rowOff>
    </xdr:from>
    <xdr:to>
      <xdr:col>1</xdr:col>
      <xdr:colOff>1356518</xdr:colOff>
      <xdr:row>31</xdr:row>
      <xdr:rowOff>68870</xdr:rowOff>
    </xdr:to>
    <xdr:pic>
      <xdr:nvPicPr>
        <xdr:cNvPr id="6" name="Picture 5" descr="20230602_143259_0000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6920" y="7879080"/>
          <a:ext cx="1189990" cy="990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33"/>
  <sheetViews>
    <sheetView tabSelected="1" topLeftCell="A3" zoomScale="85" zoomScaleNormal="85" workbookViewId="0">
      <selection activeCell="D16" sqref="D16"/>
    </sheetView>
  </sheetViews>
  <sheetFormatPr defaultColWidth="9" defaultRowHeight="15.75"/>
  <cols>
    <col min="1" max="1" width="8.5703125" style="2" customWidth="1"/>
    <col min="2" max="2" width="70.7109375" style="3" bestFit="1" customWidth="1"/>
    <col min="3" max="3" width="32.28515625" style="4" customWidth="1"/>
    <col min="4" max="4" width="24" style="4" customWidth="1"/>
    <col min="5" max="5" width="32" style="5" customWidth="1"/>
    <col min="6" max="6" width="21.85546875" style="4" customWidth="1"/>
    <col min="7" max="7" width="38.140625" style="5" customWidth="1"/>
    <col min="8" max="8" width="35.5703125" style="2" customWidth="1"/>
  </cols>
  <sheetData>
    <row r="1" spans="1:8">
      <c r="E1" s="4"/>
      <c r="G1" s="6"/>
    </row>
    <row r="2" spans="1:8">
      <c r="E2" s="4"/>
      <c r="G2" s="6"/>
    </row>
    <row r="3" spans="1:8" s="1" customFormat="1" ht="104.25" customHeight="1">
      <c r="A3" s="7"/>
      <c r="B3" s="8" t="s">
        <v>0</v>
      </c>
      <c r="C3" s="9"/>
      <c r="D3" s="9"/>
      <c r="E3" s="9"/>
      <c r="F3"/>
      <c r="G3" s="10"/>
      <c r="H3" s="7"/>
    </row>
    <row r="4" spans="1:8" ht="34.5" customHeight="1">
      <c r="E4" s="4"/>
      <c r="G4" s="4"/>
    </row>
    <row r="5" spans="1:8">
      <c r="B5" s="11"/>
      <c r="C5" s="12"/>
      <c r="D5" s="13" t="s">
        <v>15</v>
      </c>
      <c r="E5" s="36" t="s">
        <v>23</v>
      </c>
      <c r="F5" s="13" t="s">
        <v>1</v>
      </c>
      <c r="G5" s="36" t="s">
        <v>24</v>
      </c>
    </row>
    <row r="6" spans="1:8">
      <c r="B6" s="60" t="s">
        <v>2</v>
      </c>
      <c r="C6" s="61"/>
      <c r="D6" s="48" t="s">
        <v>3</v>
      </c>
      <c r="E6" s="48"/>
      <c r="F6" s="48"/>
      <c r="G6" s="48"/>
      <c r="H6" s="17"/>
    </row>
    <row r="7" spans="1:8" ht="15.75" customHeight="1">
      <c r="B7" s="59" t="s">
        <v>27</v>
      </c>
      <c r="C7" s="58"/>
      <c r="D7" s="55" t="s">
        <v>29</v>
      </c>
      <c r="E7" s="56"/>
      <c r="F7" s="56"/>
      <c r="G7" s="56"/>
      <c r="H7" s="17"/>
    </row>
    <row r="8" spans="1:8">
      <c r="B8" s="58"/>
      <c r="C8" s="58"/>
      <c r="D8" s="57"/>
      <c r="E8" s="58"/>
      <c r="F8" s="58"/>
      <c r="G8" s="58"/>
      <c r="H8" s="17"/>
    </row>
    <row r="9" spans="1:8">
      <c r="B9" s="62" t="s">
        <v>4</v>
      </c>
      <c r="C9" s="63"/>
      <c r="D9" s="48" t="s">
        <v>5</v>
      </c>
      <c r="E9" s="48"/>
      <c r="F9" s="48"/>
      <c r="G9" s="64"/>
      <c r="H9" s="17"/>
    </row>
    <row r="10" spans="1:8">
      <c r="B10" s="51"/>
      <c r="C10" s="51"/>
      <c r="D10" s="33"/>
      <c r="E10"/>
      <c r="F10"/>
      <c r="G10" s="34"/>
      <c r="H10" s="17"/>
    </row>
    <row r="11" spans="1:8">
      <c r="B11" s="48" t="s">
        <v>6</v>
      </c>
      <c r="C11" s="48"/>
      <c r="D11" s="33"/>
      <c r="E11"/>
      <c r="F11"/>
      <c r="G11" s="34"/>
      <c r="H11" s="17"/>
    </row>
    <row r="12" spans="1:8">
      <c r="B12" s="49" t="s">
        <v>28</v>
      </c>
      <c r="C12" s="50"/>
      <c r="D12" s="52"/>
      <c r="E12" s="53"/>
      <c r="F12" s="53"/>
      <c r="G12" s="54"/>
      <c r="H12" s="17"/>
    </row>
    <row r="13" spans="1:8" ht="15.75" customHeight="1">
      <c r="B13" s="11"/>
      <c r="C13" s="12"/>
      <c r="D13" s="12"/>
      <c r="E13" s="14"/>
      <c r="F13" s="12"/>
      <c r="G13" s="14"/>
      <c r="H13" s="17"/>
    </row>
    <row r="14" spans="1:8">
      <c r="B14" s="18" t="s">
        <v>7</v>
      </c>
      <c r="C14" s="19" t="s">
        <v>21</v>
      </c>
      <c r="D14" s="19" t="s">
        <v>8</v>
      </c>
      <c r="E14" s="15"/>
      <c r="F14" s="12"/>
      <c r="G14" s="16"/>
      <c r="H14" s="17"/>
    </row>
    <row r="15" spans="1:8">
      <c r="B15" s="20">
        <f>SUM(H18:H19)</f>
        <v>250000</v>
      </c>
      <c r="C15" s="21">
        <f>COUNT(D18:D19)</f>
        <v>2</v>
      </c>
      <c r="D15" s="21">
        <f>SUM(D18:D19)</f>
        <v>2</v>
      </c>
      <c r="E15" s="14"/>
      <c r="F15" s="12"/>
      <c r="G15" s="14"/>
      <c r="H15" s="17"/>
    </row>
    <row r="16" spans="1:8">
      <c r="B16" s="11"/>
      <c r="C16" s="12"/>
      <c r="D16" s="12"/>
      <c r="E16" s="14"/>
      <c r="F16" s="12"/>
      <c r="G16" s="14"/>
      <c r="H16" s="17"/>
    </row>
    <row r="17" spans="2:8">
      <c r="B17" s="38" t="s">
        <v>22</v>
      </c>
      <c r="C17" s="39" t="s">
        <v>9</v>
      </c>
      <c r="D17" s="39" t="s">
        <v>10</v>
      </c>
      <c r="E17" s="39" t="s">
        <v>16</v>
      </c>
      <c r="F17" s="39" t="s">
        <v>11</v>
      </c>
      <c r="G17" s="39" t="s">
        <v>17</v>
      </c>
      <c r="H17" s="40" t="s">
        <v>19</v>
      </c>
    </row>
    <row r="18" spans="2:8">
      <c r="B18" s="32" t="s">
        <v>26</v>
      </c>
      <c r="C18" s="31" t="str" cm="1">
        <f t="array" ref="C18">_xlfn.REGEXEXTRACT(_xlfn.WEBSERVICE("https://seg-server.vercel.app/api/books/isbn/"&amp;B18), "\d+")</f>
        <v>9781640156005</v>
      </c>
      <c r="D18" s="41">
        <v>1</v>
      </c>
      <c r="E18" s="44" cm="1">
        <f t="array" ref="E18">_xlfn.NUMBERVALUE(_xlfn.REGEXEXTRACT(_xlfn.WEBSERVICE("https://seg-server.vercel.app/api/books/price/"&amp;C18), "\d+"))</f>
        <v>125000</v>
      </c>
      <c r="F18" s="42"/>
      <c r="G18" s="43">
        <f t="shared" ref="G18" si="0">(E18-(E18*F18))</f>
        <v>125000</v>
      </c>
      <c r="H18" s="43">
        <f t="shared" ref="H18" si="1">(E18-(E18*F18))*(D18)</f>
        <v>125000</v>
      </c>
    </row>
    <row r="19" spans="2:8">
      <c r="B19" s="32" t="s">
        <v>25</v>
      </c>
      <c r="C19" s="31" t="str" cm="1">
        <f t="array" ref="C19">_xlfn.REGEXEXTRACT(_xlfn.WEBSERVICE("https://seg-server.vercel.app/api/books/isbn/"&amp;B19), "\d+")</f>
        <v>9781640155978</v>
      </c>
      <c r="D19" s="41">
        <v>1</v>
      </c>
      <c r="E19" s="44" cm="1">
        <f t="array" ref="E19">_xlfn.NUMBERVALUE(_xlfn.REGEXEXTRACT(_xlfn.WEBSERVICE("https://seg-server.vercel.app/api/books/price/"&amp;C19), "\d+"))</f>
        <v>125000</v>
      </c>
      <c r="F19" s="42"/>
      <c r="G19" s="43">
        <f t="shared" ref="G19" si="2">(E19-(E19*F19))</f>
        <v>125000</v>
      </c>
      <c r="H19" s="43">
        <f t="shared" ref="H19" si="3">(E19-(E19*F19))*(D19)</f>
        <v>125000</v>
      </c>
    </row>
    <row r="20" spans="2:8">
      <c r="G20" s="29" t="s">
        <v>20</v>
      </c>
      <c r="H20" s="37">
        <f>SUM(H18:H19)</f>
        <v>250000</v>
      </c>
    </row>
    <row r="22" spans="2:8">
      <c r="B22" s="23"/>
      <c r="C22" s="24"/>
      <c r="D22" s="24"/>
      <c r="E22" s="24"/>
      <c r="F22" s="24"/>
      <c r="G22" s="24"/>
      <c r="H22" s="25"/>
    </row>
    <row r="23" spans="2:8">
      <c r="B23" s="30" t="s">
        <v>18</v>
      </c>
      <c r="E23" s="4"/>
      <c r="G23" s="4"/>
      <c r="H23" s="27"/>
    </row>
    <row r="24" spans="2:8">
      <c r="B24" s="35"/>
      <c r="E24" s="4"/>
      <c r="G24" s="4"/>
      <c r="H24" s="27"/>
    </row>
    <row r="25" spans="2:8">
      <c r="B25" s="35"/>
      <c r="E25" s="4"/>
      <c r="G25" s="4"/>
      <c r="H25" s="27"/>
    </row>
    <row r="26" spans="2:8">
      <c r="B26" s="35"/>
      <c r="E26" s="4"/>
      <c r="G26" s="4"/>
      <c r="H26" s="27"/>
    </row>
    <row r="27" spans="2:8">
      <c r="B27" s="26"/>
      <c r="E27" s="4"/>
      <c r="G27" s="4"/>
      <c r="H27" s="27"/>
    </row>
    <row r="28" spans="2:8">
      <c r="B28" s="28" t="s">
        <v>12</v>
      </c>
      <c r="E28" s="4"/>
      <c r="G28" s="4"/>
      <c r="H28" s="27"/>
    </row>
    <row r="29" spans="2:8">
      <c r="B29" s="26"/>
      <c r="E29" s="4"/>
      <c r="G29" s="4"/>
      <c r="H29" s="27"/>
    </row>
    <row r="30" spans="2:8" ht="39" customHeight="1">
      <c r="B30" s="26"/>
      <c r="E30" s="4"/>
      <c r="G30" s="4"/>
      <c r="H30" s="27"/>
    </row>
    <row r="31" spans="2:8">
      <c r="B31" s="26" t="s">
        <v>13</v>
      </c>
      <c r="C31" s="22"/>
      <c r="D31" s="22"/>
      <c r="E31" s="22"/>
      <c r="F31" s="22"/>
      <c r="G31" s="22"/>
      <c r="H31" s="27"/>
    </row>
    <row r="32" spans="2:8">
      <c r="B32" s="26"/>
      <c r="E32" s="4"/>
      <c r="G32" s="4"/>
      <c r="H32" s="27"/>
    </row>
    <row r="33" spans="2:8">
      <c r="B33" s="45" t="s">
        <v>14</v>
      </c>
      <c r="C33" s="46"/>
      <c r="D33" s="46"/>
      <c r="E33" s="46"/>
      <c r="F33" s="46"/>
      <c r="G33" s="46"/>
      <c r="H33" s="47"/>
    </row>
  </sheetData>
  <mergeCells count="11">
    <mergeCell ref="D7:G8"/>
    <mergeCell ref="B7:C8"/>
    <mergeCell ref="B6:C6"/>
    <mergeCell ref="D6:G6"/>
    <mergeCell ref="B9:C9"/>
    <mergeCell ref="D9:G9"/>
    <mergeCell ref="B33:H33"/>
    <mergeCell ref="B11:C11"/>
    <mergeCell ref="B12:C12"/>
    <mergeCell ref="B10:C10"/>
    <mergeCell ref="D12:G12"/>
  </mergeCells>
  <phoneticPr fontId="12" type="noConversion"/>
  <pageMargins left="0.25" right="0.25" top="0.75" bottom="0.75" header="0.3" footer="0.3"/>
  <pageSetup paperSize="9" scale="3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Aldi Alfiandi</dc:creator>
  <cp:lastModifiedBy>Aldi</cp:lastModifiedBy>
  <cp:lastPrinted>2025-08-19T07:46:38Z</cp:lastPrinted>
  <dcterms:created xsi:type="dcterms:W3CDTF">2023-07-26T09:32:00Z</dcterms:created>
  <dcterms:modified xsi:type="dcterms:W3CDTF">2025-08-22T06:16:09Z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7D875E8D76224CE295826D1F37DE2C24_13</vt:lpwstr>
  </property>
  <property fmtid="{D5CDD505-2E9C-101B-9397-08002B2CF9AE}" pid="3" name="KSOProductBuildVer">
    <vt:lpwstr>1033-12.2.0.13489</vt:lpwstr>
  </property>
</Properties>
</file>