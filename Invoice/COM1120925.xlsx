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C057447C-504A-4475-9AC7-ABC56606752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 a="1"/>
  <c r="E19" i="1" s="1"/>
  <c r="H19" i="1" s="1"/>
  <c r="E20" i="1" a="1"/>
  <c r="E20" i="1" s="1"/>
  <c r="H20" i="1" s="1"/>
  <c r="E18" i="1" a="1"/>
  <c r="E18" i="1" s="1"/>
  <c r="H18" i="1" s="1"/>
  <c r="C18" i="1" a="1"/>
  <c r="C18" i="1" s="1"/>
  <c r="C19" i="1" a="1"/>
  <c r="C19" i="1" s="1"/>
  <c r="C20" i="1" a="1"/>
  <c r="C20" i="1" s="1"/>
  <c r="C15" i="1"/>
  <c r="D15" i="1"/>
  <c r="G19" i="1" l="1"/>
  <c r="G20" i="1"/>
  <c r="H21" i="1"/>
  <c r="G18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<sst xmlns="http://schemas.openxmlformats.org/spreadsheetml/2006/main" count="29" uniqueCount="29">
  <si>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</si>
  <si>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</si>
  <si>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</si>
  <si>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</si>
  <si>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</si>
  <si>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</si>
  <si>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</si>
  <si>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</si>
  <si>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</si>
  <si>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</si>
  <si>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</si>
  <si>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</si>
  <si>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</si>
  <si>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</si>
  <si>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</si>
  <si>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</si>
  <si>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</si>
  <si>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</si>
  <si>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</si>
  <si>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</si>
  <si>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</si>
  <si>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</si>
  <si>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</si>
  <si>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Odyssey 1 - Student Book and Workbook</t>
  </si>
  <si>
    <t>COM1120925</t>
  </si>
  <si>
    <t>19/9/2025</t>
  </si>
  <si>
    <t>Ms. Maya - English Private</t>
  </si>
  <si>
    <t>Boost English 2 - Student Book</t>
  </si>
  <si>
    <t>Boost English 2 - Work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</si>
</sst>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28</xdr:row>
      <xdr:rowOff>168088</xdr:rowOff>
    </xdr:from>
    <xdr:to>
      <xdr:col>1</xdr:col>
      <xdr:colOff>1356518</xdr:colOff>
      <xdr:row>32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4" zoomScale="85" zoomScaleNormal="85" workbookViewId="0">
      <selection activeCell="E15" sqref="E15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24</v>
      </c>
      <c r="F5" s="45" t="s">
        <v>1</v>
      </c>
      <c r="G5" s="44" t="s">
        <v>25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26</v>
      </c>
      <c r="C7" s="58"/>
      <c r="D7" s="55"/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6</v>
      </c>
      <c r="C11" s="49"/>
      <c r="D11" s="32"/>
      <c r="E11"/>
      <c r="F11"/>
      <c r="G11" s="33"/>
      <c r="H11" s="16"/>
    </row>
    <row r="12" spans="1:8">
      <c r="B12" s="50"/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SUM(H18:H20)</f>
        <v>809900</v>
      </c>
      <c r="C15" s="20">
        <f>COUNT(D18:D20)</f>
        <v>3</v>
      </c>
      <c r="D15" s="20">
        <f>SUM(D18:D20)</f>
        <v>9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27</v>
      </c>
      <c r="C18" s="30" t="str" cm="1">
        <f t="array" ref="C18">_xlfn.REGEXEXTRACT(_xlfn.WEBSERVICE("https://seg-server.vercel.app/api/books/isbn/"&amp;B18), "\d+")</f>
        <v>9781685912772</v>
      </c>
      <c r="D18" s="40">
        <v>4</v>
      </c>
      <c r="E18" s="43" cm="1">
        <f t="array" ref="E18">_xlfn.NUMBERVALUE(_xlfn.REGEXEXTRACT(_xlfn.WEBSERVICE("https://seg-server.vercel.app/api/books/price/"&amp;C18), "\d+"))</f>
        <v>140000</v>
      </c>
      <c r="F18" s="41">
        <v>0.3</v>
      </c>
      <c r="G18" s="42">
        <f t="shared" ref="G18" si="0">(E18-(E18*F18))</f>
        <v>98000</v>
      </c>
      <c r="H18" s="42">
        <f t="shared" ref="H18" si="1">(E18-(E18*F18))*(D18)</f>
        <v>392000</v>
      </c>
    </row>
    <row r="19" spans="2:8">
      <c r="B19" s="31" t="s">
        <v>28</v>
      </c>
      <c r="C19" s="30" t="str" cm="1">
        <f t="array" ref="C19">_xlfn.REGEXEXTRACT(_xlfn.WEBSERVICE("https://seg-server.vercel.app/api/books/isbn/"&amp;B19), "\d+")</f>
        <v>9781685912789</v>
      </c>
      <c r="D19" s="40">
        <v>4</v>
      </c>
      <c r="E19" s="43" cm="1">
        <f t="array" ref="E19">_xlfn.NUMBERVALUE(_xlfn.REGEXEXTRACT(_xlfn.WEBSERVICE("https://seg-server.vercel.app/api/books/price/"&amp;C19), "\d+"))</f>
        <v>118000</v>
      </c>
      <c r="F19" s="41">
        <v>0.3</v>
      </c>
      <c r="G19" s="42">
        <f t="shared" ref="G19:G20" si="2">(E19-(E19*F19))</f>
        <v>82600</v>
      </c>
      <c r="H19" s="42">
        <f t="shared" ref="H19:H20" si="3">(E19-(E19*F19))*(D19)</f>
        <v>330400</v>
      </c>
    </row>
    <row r="20" spans="2:8">
      <c r="B20" s="31" t="s">
        <v>23</v>
      </c>
      <c r="C20" s="30" t="str" cm="1">
        <f t="array" ref="C20">_xlfn.REGEXEXTRACT(_xlfn.WEBSERVICE("https://seg-server.vercel.app/api/books/isbn/"&amp;B20), "\d+")</f>
        <v>9781640155978</v>
      </c>
      <c r="D20" s="40">
        <v>1</v>
      </c>
      <c r="E20" s="43" cm="1">
        <f t="array" ref="E20">_xlfn.NUMBERVALUE(_xlfn.REGEXEXTRACT(_xlfn.WEBSERVICE("https://seg-server.vercel.app/api/books/price/"&amp;C20), "\d+"))</f>
        <v>125000</v>
      </c>
      <c r="F20" s="41">
        <v>0.3</v>
      </c>
      <c r="G20" s="42">
        <f t="shared" si="2"/>
        <v>87500</v>
      </c>
      <c r="H20" s="42">
        <f t="shared" si="3"/>
        <v>87500</v>
      </c>
    </row>
    <row r="21" spans="2:8">
      <c r="G21" s="28" t="s">
        <v>20</v>
      </c>
      <c r="H21" s="36">
        <f>SUM(H18:H20)</f>
        <v>809900</v>
      </c>
    </row>
    <row r="23" spans="2:8">
      <c r="B23" s="22"/>
      <c r="C23" s="23"/>
      <c r="D23" s="23"/>
      <c r="E23" s="23"/>
      <c r="F23" s="23"/>
      <c r="G23" s="23"/>
      <c r="H23" s="24"/>
    </row>
    <row r="24" spans="2:8">
      <c r="B24" s="29" t="s">
        <v>18</v>
      </c>
      <c r="E24" s="4"/>
      <c r="G24" s="4"/>
      <c r="H24" s="26"/>
    </row>
    <row r="25" spans="2:8">
      <c r="B25" s="34"/>
      <c r="E25" s="4"/>
      <c r="G25" s="4"/>
      <c r="H25" s="26"/>
    </row>
    <row r="26" spans="2:8">
      <c r="B26" s="34"/>
      <c r="E26" s="4"/>
      <c r="G26" s="4"/>
      <c r="H26" s="26"/>
    </row>
    <row r="27" spans="2:8">
      <c r="B27" s="34"/>
      <c r="E27" s="4"/>
      <c r="G27" s="4"/>
      <c r="H27" s="26"/>
    </row>
    <row r="28" spans="2:8">
      <c r="B28" s="25"/>
      <c r="E28" s="4"/>
      <c r="G28" s="4"/>
      <c r="H28" s="26"/>
    </row>
    <row r="29" spans="2:8">
      <c r="B29" s="27" t="s">
        <v>12</v>
      </c>
      <c r="E29" s="4"/>
      <c r="G29" s="4"/>
      <c r="H29" s="26"/>
    </row>
    <row r="30" spans="2:8">
      <c r="B30" s="25"/>
      <c r="E30" s="4"/>
      <c r="G30" s="4"/>
      <c r="H30" s="26"/>
    </row>
    <row r="31" spans="2:8" ht="39" customHeight="1">
      <c r="B31" s="25"/>
      <c r="E31" s="4"/>
      <c r="G31" s="4"/>
      <c r="H31" s="26"/>
    </row>
    <row r="32" spans="2:8">
      <c r="B32" s="25" t="s">
        <v>13</v>
      </c>
      <c r="C32" s="21"/>
      <c r="D32" s="21"/>
      <c r="E32" s="21"/>
      <c r="F32" s="21"/>
      <c r="G32" s="21"/>
      <c r="H32" s="26"/>
    </row>
    <row r="33" spans="2:8">
      <c r="B33" s="25"/>
      <c r="E33" s="4"/>
      <c r="G33" s="4"/>
      <c r="H33" s="26"/>
    </row>
    <row r="34" spans="2:8">
      <c r="B34" s="46" t="s">
        <v>14</v>
      </c>
      <c r="C34" s="47"/>
      <c r="D34" s="47"/>
      <c r="E34" s="47"/>
      <c r="F34" s="47"/>
      <c r="G34" s="47"/>
      <c r="H34" s="48"/>
    </row>
  </sheetData>
  <mergeCells count="11">
    <mergeCell ref="D7:G8"/>
    <mergeCell ref="B7:C8"/>
    <mergeCell ref="B6:C6"/>
    <mergeCell ref="D6:G6"/>
    <mergeCell ref="B9:C9"/>
    <mergeCell ref="D9:G9"/>
    <mergeCell ref="B34:H34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2025-09-04T23:26:47Z</cp:lastPrinted>
  <dcterms:created xsi:type="dcterms:W3CDTF">2023-07-26T09:32:00Z</dcterms:created>
  <dcterms:modified xsi:type="dcterms:W3CDTF">2025-09-19T00:36:12Z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