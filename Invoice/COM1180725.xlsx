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docs\Invoice\"/>
    </mc:Choice>
  </mc:AlternateContent>
  <xr:revisionPtr revIDLastSave="0" documentId="8_{6D1AE9B7-07C1-483F-9842-596DFE1AE20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G18" i="1"/>
  <c r="H18" i="1"/>
  <c r="D15" i="1"/>
  <c r="C15" i="1"/>
  <c r="B15" i="1" l="1"/>
  <c r="H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<sst xmlns="http://schemas.openxmlformats.org/spreadsheetml/2006/main" count="28" uniqueCount="28">
  <si>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</si>
  <si>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</si>
  <si>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</si>
  <si>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</si>
  <si>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</si>
  <si>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</si>
  <si>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</si>
  <si>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</si>
  <si>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</si>
  <si>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</si>
  <si>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</si>
  <si>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</si>
  <si>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</si>
  <si>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</si>
  <si>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</si>
  <si>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</si>
  <si>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</si>
  <si>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</si>
  <si>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</si>
  <si>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</si>
  <si>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</si>
  <si>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</si>
  <si>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</si>
  <si>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Klub Karya Kita</t>
  </si>
  <si>
    <t>Villa Dago Pamulang, Jl. Villa Dago Raya, Tangerang Selatan,Indonesia. 15415</t>
  </si>
  <si>
    <t>082110009066</t>
  </si>
  <si>
    <t>Classbox Premium Digital Material</t>
  </si>
  <si>
    <t>COM1180725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</si>
</sst>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  <font>
      <sz val="8"/>
      <name val="Calibri"/>
      <charset val="134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/>
    </xf>
    <xf numFmtId="164" fontId="11" fillId="2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11" fillId="2" borderId="3" xfId="0" applyFont="1" applyFill="1" applyBorder="1" applyAlignment="1">
      <alignment horizontal="center" vertical="center" wrapText="1"/>
    </xf>
    <xf numFmtId="9" fontId="11" fillId="2" borderId="3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top" wrapText="1"/>
    </xf>
    <xf numFmtId="164" fontId="13" fillId="0" borderId="13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20" xfId="0" applyBorder="1"/>
    <xf numFmtId="0" fontId="8" fillId="0" borderId="3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left" vertical="center" indent="1"/>
    </xf>
    <xf numFmtId="164" fontId="11" fillId="2" borderId="16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  <xf numFmtId="0" fontId="7" fillId="0" borderId="15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24</xdr:row>
      <xdr:rowOff>168088</xdr:rowOff>
    </xdr:from>
    <xdr:to>
      <xdr:col>1</xdr:col>
      <xdr:colOff>1356518</xdr:colOff>
      <xdr:row>28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23</xdr:row>
      <xdr:rowOff>22413</xdr:rowOff>
    </xdr:from>
    <xdr:to>
      <xdr:col>1</xdr:col>
      <xdr:colOff>2409265</xdr:colOff>
      <xdr:row>29</xdr:row>
      <xdr:rowOff>36775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EF9F15-D258-E6E2-D1D1-A2213033B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38716" y1="37673" x2="46377" y2="53186"/>
                      <a14:foregroundMark x1="46998" y1="53186" x2="44099" y2="35457"/>
                      <a14:foregroundMark x1="49068" y1="34626" x2="72878" y2="36011"/>
                      <a14:foregroundMark x1="72878" y1="36011" x2="73499" y2="35457"/>
                      <a14:foregroundMark x1="55280" y1="33241" x2="56315" y2="30194"/>
                      <a14:foregroundMark x1="61905" y1="29640" x2="61284" y2="36288"/>
                      <a14:foregroundMark x1="55280" y1="39058" x2="55280" y2="43490"/>
                      <a14:foregroundMark x1="54244" y1="42936" x2="53002" y2="5097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8034619"/>
          <a:ext cx="2028265" cy="151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B3" zoomScale="85" zoomScaleNormal="85" workbookViewId="0">
      <selection activeCell="G5" sqref="G5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38" t="s">
        <v>27</v>
      </c>
      <c r="F5" s="13" t="s">
        <v>1</v>
      </c>
      <c r="G5" s="25">
        <v>45867</v>
      </c>
    </row>
    <row r="6" spans="1:8">
      <c r="B6" s="61" t="s">
        <v>2</v>
      </c>
      <c r="C6" s="62"/>
      <c r="D6" s="50" t="s">
        <v>3</v>
      </c>
      <c r="E6" s="50"/>
      <c r="F6" s="50"/>
      <c r="G6" s="50"/>
      <c r="H6" s="17"/>
    </row>
    <row r="7" spans="1:8" ht="15.75" customHeight="1">
      <c r="B7" s="60" t="s">
        <v>23</v>
      </c>
      <c r="C7" s="59"/>
      <c r="D7" s="56" t="s">
        <v>24</v>
      </c>
      <c r="E7" s="57"/>
      <c r="F7" s="57"/>
      <c r="G7" s="57"/>
      <c r="H7" s="17"/>
    </row>
    <row r="8" spans="1:8">
      <c r="B8" s="59"/>
      <c r="C8" s="59"/>
      <c r="D8" s="58"/>
      <c r="E8" s="59"/>
      <c r="F8" s="59"/>
      <c r="G8" s="59"/>
      <c r="H8" s="17"/>
    </row>
    <row r="9" spans="1:8">
      <c r="B9" s="63" t="s">
        <v>4</v>
      </c>
      <c r="C9" s="64"/>
      <c r="D9" s="50" t="s">
        <v>5</v>
      </c>
      <c r="E9" s="50"/>
      <c r="F9" s="50"/>
      <c r="G9" s="65"/>
      <c r="H9" s="17"/>
    </row>
    <row r="10" spans="1:8">
      <c r="B10" s="52"/>
      <c r="C10" s="52"/>
      <c r="D10" s="41"/>
      <c r="E10"/>
      <c r="F10"/>
      <c r="G10" s="42"/>
      <c r="H10" s="17"/>
    </row>
    <row r="11" spans="1:8">
      <c r="B11" s="50" t="s">
        <v>6</v>
      </c>
      <c r="C11" s="50"/>
      <c r="D11" s="41"/>
      <c r="E11"/>
      <c r="F11"/>
      <c r="G11" s="42"/>
      <c r="H11" s="17"/>
    </row>
    <row r="12" spans="1:8">
      <c r="B12" s="51" t="s">
        <v>25</v>
      </c>
      <c r="C12" s="51"/>
      <c r="D12" s="53"/>
      <c r="E12" s="54"/>
      <c r="F12" s="54"/>
      <c r="G12" s="55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SUM(H18:H18)</f>
        <v>1080000</v>
      </c>
      <c r="C15" s="21">
        <f>COUNT(D18:D18)</f>
        <v>1</v>
      </c>
      <c r="D15" s="21">
        <f>SUM(D18:D18)</f>
        <v>1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43" t="s">
        <v>22</v>
      </c>
      <c r="C17" s="35" t="s">
        <v>9</v>
      </c>
      <c r="D17" s="35" t="s">
        <v>10</v>
      </c>
      <c r="E17" s="35" t="s">
        <v>16</v>
      </c>
      <c r="F17" s="35" t="s">
        <v>11</v>
      </c>
      <c r="G17" s="35" t="s">
        <v>17</v>
      </c>
      <c r="H17" s="22" t="s">
        <v>19</v>
      </c>
    </row>
    <row r="18" spans="2:8">
      <c r="B18" s="39" t="s">
        <v>26</v>
      </c>
      <c r="C18" s="37" t="str" cm="1">
        <f t="array" ref="C18">_xlfn.REGEXEXTRACT(_xlfn.WEBSERVICE("https://seg-server.vercel.app/api/books/isbn/"&amp;B18), "\d+")</f>
        <v>1000000000002</v>
      </c>
      <c r="D18" s="32">
        <v>1</v>
      </c>
      <c r="E18" s="40">
        <v>1350000</v>
      </c>
      <c r="F18" s="33">
        <v>0.2</v>
      </c>
      <c r="G18" s="23">
        <f t="shared" ref="G18" si="0">(E18-(E18*F18))</f>
        <v>1080000</v>
      </c>
      <c r="H18" s="23">
        <f t="shared" ref="H18" si="1">(E18-(E18*F18))*(D18)</f>
        <v>1080000</v>
      </c>
    </row>
    <row r="19" spans="2:8">
      <c r="G19" s="34" t="s">
        <v>20</v>
      </c>
      <c r="H19" s="46">
        <f>SUM(H18:H18)</f>
        <v>1080000</v>
      </c>
    </row>
    <row r="21" spans="2:8">
      <c r="B21" s="26"/>
      <c r="C21" s="27"/>
      <c r="D21" s="27"/>
      <c r="E21" s="27"/>
      <c r="F21" s="27"/>
      <c r="G21" s="27"/>
      <c r="H21" s="28"/>
    </row>
    <row r="22" spans="2:8">
      <c r="B22" s="36" t="s">
        <v>18</v>
      </c>
      <c r="E22" s="4"/>
      <c r="G22" s="4"/>
      <c r="H22" s="30"/>
    </row>
    <row r="23" spans="2:8">
      <c r="B23" s="44"/>
      <c r="E23" s="4"/>
      <c r="G23" s="4"/>
      <c r="H23" s="30"/>
    </row>
    <row r="24" spans="2:8">
      <c r="B24" s="45"/>
      <c r="E24" s="4"/>
      <c r="G24" s="4"/>
      <c r="H24" s="30"/>
    </row>
    <row r="25" spans="2:8">
      <c r="B25" s="31" t="s">
        <v>12</v>
      </c>
      <c r="E25" s="4"/>
      <c r="G25" s="4"/>
      <c r="H25" s="30"/>
    </row>
    <row r="26" spans="2:8">
      <c r="B26" s="29"/>
      <c r="E26" s="4"/>
      <c r="G26" s="4"/>
      <c r="H26" s="30"/>
    </row>
    <row r="27" spans="2:8" ht="39" customHeight="1">
      <c r="B27" s="29"/>
      <c r="E27" s="4"/>
      <c r="G27" s="4"/>
      <c r="H27" s="30"/>
    </row>
    <row r="28" spans="2:8">
      <c r="B28" s="29" t="s">
        <v>13</v>
      </c>
      <c r="C28" s="24"/>
      <c r="D28" s="24"/>
      <c r="E28" s="24"/>
      <c r="F28" s="24"/>
      <c r="G28" s="24"/>
      <c r="H28" s="30"/>
    </row>
    <row r="29" spans="2:8">
      <c r="B29" s="29"/>
      <c r="E29" s="4"/>
      <c r="G29" s="4"/>
      <c r="H29" s="30"/>
    </row>
    <row r="30" spans="2:8">
      <c r="B30" s="47" t="s">
        <v>14</v>
      </c>
      <c r="C30" s="48"/>
      <c r="D30" s="48"/>
      <c r="E30" s="48"/>
      <c r="F30" s="48"/>
      <c r="G30" s="48"/>
      <c r="H30" s="49"/>
    </row>
  </sheetData>
  <mergeCells count="11">
    <mergeCell ref="D7:G8"/>
    <mergeCell ref="B7:C8"/>
    <mergeCell ref="B6:C6"/>
    <mergeCell ref="D6:G6"/>
    <mergeCell ref="B9:C9"/>
    <mergeCell ref="D9:G9"/>
    <mergeCell ref="B30:H30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2025-07-17T06:54:53Z</cp:lastPrinted>
  <dcterms:created xsi:type="dcterms:W3CDTF">2023-07-26T09:32:00Z</dcterms:created>
  <dcterms:modified xsi:type="dcterms:W3CDTF">2025-07-29T08:32:45Z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