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Order\"/>
    </mc:Choice>
  </mc:AlternateContent>
  <xr:revisionPtr revIDLastSave="0" documentId="13_ncr:1_{EF541FE0-E83A-432F-AB3F-ABD8027461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1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18" i="1"/>
  <c r="D15" i="1"/>
  <c r="C15" i="1"/>
  <c r="B19" i="1"/>
  <c r="B20" i="1"/>
  <c r="B22" i="1"/>
  <c r="B23" i="1"/>
  <c r="B24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18" i="1"/>
  <c r="B15" i="1" l="1"/>
</calcChain>
</file>

<file path=xl/sharedStrings.xml><?xml version="1.0" encoding="utf-8"?>
<sst xmlns="http://schemas.openxmlformats.org/spreadsheetml/2006/main" count="36" uniqueCount="36">
  <si>
    <t>Number</t>
  </si>
  <si>
    <t>Date</t>
  </si>
  <si>
    <t>Address:</t>
  </si>
  <si>
    <t>Email:</t>
  </si>
  <si>
    <t>Remarks:</t>
  </si>
  <si>
    <t>Telephone:</t>
  </si>
  <si>
    <t>Total Amount</t>
  </si>
  <si>
    <t>Total Items</t>
  </si>
  <si>
    <t>Total Quantity</t>
  </si>
  <si>
    <t>Description of goods</t>
  </si>
  <si>
    <t>Quantity</t>
  </si>
  <si>
    <t>Unit (Rp.)</t>
  </si>
  <si>
    <t>Discount (%)</t>
  </si>
  <si>
    <t>Amount (Rp.)</t>
  </si>
  <si>
    <t>Regards,</t>
  </si>
  <si>
    <t>PURCHASE ORDER</t>
  </si>
  <si>
    <t>To:</t>
  </si>
  <si>
    <t>Compass Publishing</t>
  </si>
  <si>
    <t>Room No. 301 15-10, Gangnam Daero 39-Gil 06735 Seoul-Si Saecho-Gu, South Korea</t>
  </si>
  <si>
    <t>ISBN / Serial</t>
  </si>
  <si>
    <t>PO1011225</t>
  </si>
  <si>
    <t>PT Profitta Littera Lestari</t>
  </si>
  <si>
    <t>PT Profita Littera Lestari - Spazio Tower Office Building LT 2 Unit 201 Jl. Mayjend Jonosewojo Kav 3 Kota Surabaya</t>
  </si>
  <si>
    <t>**SAMPLE
**FEDEX</t>
  </si>
  <si>
    <t>New Frontiers 1 2nd edition (SB+BIGBOX)</t>
  </si>
  <si>
    <t>New Frontiers 2 2nd edition (SB+BIGBOX)</t>
  </si>
  <si>
    <t>New Frontiers 3 2nd edition (SB+BIGBOX)</t>
  </si>
  <si>
    <t>New Frontiers 4 2nd edition (SB+BIGBOX)</t>
  </si>
  <si>
    <t>New Frontiers 5 2nd edition (SB+BIGBOX)</t>
  </si>
  <si>
    <t>New Frontiers 6 2nd edition (SB+BIGBOX)</t>
  </si>
  <si>
    <t>New Frontiers 1 2nd edition (WB+BIGBOX)</t>
  </si>
  <si>
    <t>New Frontiers 3 2nd edition (WB+BIGBOX)</t>
  </si>
  <si>
    <t>New Frontiers 4 2nd edition (WB+BIGBOX)</t>
  </si>
  <si>
    <t>New Frontiers 5 2nd edition (WB+BIGBOX)</t>
  </si>
  <si>
    <t>New Frontiers 6 2nd edition (WB)</t>
  </si>
  <si>
    <t>New Frontiers 2 2nd edition (WB+BIGBOX)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</si>
</sst>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Rp-3809]* #,##0.00_-;\-[$Rp-3809]* #,##0.00_-;_-[$Rp-3809]* &quot;-&quot;??_-;_-@_-"/>
  </numFmts>
  <fonts count="10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FF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rgb="FF000000"/>
      <name val="Calibri"/>
      <charset val="134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164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inden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6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0" fontId="1" fillId="0" borderId="2" xfId="0" quotePrefix="1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44" fontId="9" fillId="0" borderId="2" xfId="1" applyNumberFormat="1" applyFont="1" applyBorder="1" applyAlignment="1">
      <alignment horizontal="center" vertical="center"/>
    </xf>
    <xf numFmtId="44" fontId="1" fillId="0" borderId="2" xfId="1" applyNumberFormat="1" applyFont="1" applyBorder="1" applyAlignment="1">
      <alignment horizontal="left" vertical="center" indent="2"/>
    </xf>
  </cellXfs>
  <cellStyles count="2">
    <cellStyle name="Currency" xfId="1" builtinId="4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1347848</xdr:colOff>
      <xdr:row>2</xdr:row>
      <xdr:rowOff>100852</xdr:rowOff>
    </xdr:from>
    <xdr:to>
      <xdr:col>6</xdr:col>
      <xdr:colOff>2464929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06348" y="504264"/>
          <a:ext cx="1117081" cy="1580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409062</xdr:colOff>
      <xdr:row>65</xdr:row>
      <xdr:rowOff>168088</xdr:rowOff>
    </xdr:from>
    <xdr:to>
      <xdr:col>1</xdr:col>
      <xdr:colOff>1114169</xdr:colOff>
      <xdr:row>68</xdr:row>
      <xdr:rowOff>179293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0562" y="5759823"/>
          <a:ext cx="705107" cy="997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5"/>
  <sheetViews>
    <sheetView tabSelected="1" topLeftCell="A6" zoomScale="85" zoomScaleNormal="85" workbookViewId="0">
      <selection activeCell="E17" sqref="E17"/>
    </sheetView>
  </sheetViews>
  <sheetFormatPr defaultColWidth="9" defaultRowHeight="15.75"/>
  <cols>
    <col min="1" max="1" width="8.5703125" style="2" customWidth="1"/>
    <col min="2" max="2" width="94.42578125" style="3" customWidth="1"/>
    <col min="3" max="3" width="40.42578125" style="4" customWidth="1"/>
    <col min="4" max="4" width="24" style="4" customWidth="1"/>
    <col min="5" max="5" width="40" style="5" customWidth="1"/>
    <col min="6" max="6" width="20.7109375" style="4" customWidth="1"/>
    <col min="7" max="7" width="40.42578125" style="5" customWidth="1"/>
    <col min="8" max="8" width="9.1406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15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11" t="s">
        <v>0</v>
      </c>
      <c r="E5" s="12" t="s">
        <v>20</v>
      </c>
      <c r="F5" s="11" t="s">
        <v>1</v>
      </c>
      <c r="G5" s="13">
        <v>45669</v>
      </c>
    </row>
    <row r="6" spans="1:8">
      <c r="B6" s="27" t="s">
        <v>16</v>
      </c>
      <c r="C6" s="27"/>
      <c r="D6" s="27" t="s">
        <v>2</v>
      </c>
      <c r="E6" s="27"/>
      <c r="F6" s="27"/>
      <c r="G6" s="27"/>
    </row>
    <row r="7" spans="1:8">
      <c r="B7" s="29" t="s">
        <v>17</v>
      </c>
      <c r="C7" s="29"/>
      <c r="D7" s="29" t="s">
        <v>18</v>
      </c>
      <c r="E7" s="29"/>
      <c r="F7" s="29"/>
      <c r="G7" s="29"/>
    </row>
    <row r="8" spans="1:8">
      <c r="B8" s="29"/>
      <c r="C8" s="29"/>
      <c r="D8" s="29"/>
      <c r="E8" s="29"/>
      <c r="F8" s="29"/>
      <c r="G8" s="29"/>
    </row>
    <row r="9" spans="1:8">
      <c r="B9" s="27" t="s">
        <v>3</v>
      </c>
      <c r="C9" s="27"/>
      <c r="D9" s="27" t="s">
        <v>4</v>
      </c>
      <c r="E9" s="27"/>
      <c r="F9" s="27"/>
      <c r="G9" s="27"/>
    </row>
    <row r="10" spans="1:8">
      <c r="B10" s="32"/>
      <c r="C10" s="32"/>
      <c r="D10" s="34" t="s">
        <v>23</v>
      </c>
      <c r="E10" s="35"/>
      <c r="F10" s="35"/>
      <c r="G10" s="35"/>
    </row>
    <row r="11" spans="1:8">
      <c r="B11" s="27" t="s">
        <v>5</v>
      </c>
      <c r="C11" s="27"/>
      <c r="D11" s="35"/>
      <c r="E11" s="35"/>
      <c r="F11" s="35"/>
      <c r="G11" s="35"/>
    </row>
    <row r="12" spans="1:8">
      <c r="B12" s="28"/>
      <c r="C12" s="29"/>
      <c r="D12" s="35"/>
      <c r="E12" s="35"/>
      <c r="F12" s="35"/>
      <c r="G12" s="35"/>
    </row>
    <row r="13" spans="1:8" ht="15.75" customHeight="1"/>
    <row r="14" spans="1:8">
      <c r="B14" s="14" t="s">
        <v>6</v>
      </c>
      <c r="C14" s="15" t="s">
        <v>7</v>
      </c>
      <c r="D14" s="15" t="s">
        <v>8</v>
      </c>
      <c r="E14" s="16"/>
      <c r="F14" s="17"/>
      <c r="G14" s="17"/>
    </row>
    <row r="15" spans="1:8">
      <c r="B15" s="40">
        <f>SUM(G18:G63)</f>
        <v>0.46000000000000024</v>
      </c>
      <c r="C15" s="18">
        <f>COUNT(D18:D63)</f>
        <v>46</v>
      </c>
      <c r="D15" s="18">
        <f>SUM(D18:D63)</f>
        <v>46</v>
      </c>
    </row>
    <row r="17" spans="2:7">
      <c r="B17" s="14" t="s">
        <v>9</v>
      </c>
      <c r="C17" s="19" t="s">
        <v>19</v>
      </c>
      <c r="D17" s="19" t="s">
        <v>10</v>
      </c>
      <c r="E17" s="19" t="s">
        <v>11</v>
      </c>
      <c r="F17" s="19" t="s">
        <v>12</v>
      </c>
      <c r="G17" s="19" t="s">
        <v>13</v>
      </c>
    </row>
    <row r="18" spans="2:7">
      <c r="B18" s="37" t="str">
        <f>_xlfn.WEBSERVICE("https://seg-server.vercel.app/api/books/name/"&amp;C18)</f>
        <v>"[CCC Level 12] The Crow and the Pitcher"</v>
      </c>
      <c r="C18" s="36">
        <v>9781640156609</v>
      </c>
      <c r="D18" s="38">
        <v>1</v>
      </c>
      <c r="E18" s="39">
        <v>0.01</v>
      </c>
      <c r="F18" s="38"/>
      <c r="G18" s="39">
        <f>E18*D18</f>
        <v>0.01</v>
      </c>
    </row>
    <row r="19" spans="2:7">
      <c r="B19" s="37" t="str">
        <f t="shared" ref="B19:B51" si="0">_xlfn.WEBSERVICE("https://seg-server.vercel.app/api/books/name/"&amp;C19)</f>
        <v>"[CCC Level 219] The Prince and the Pauper"</v>
      </c>
      <c r="C19" s="36">
        <v>9781640156975</v>
      </c>
      <c r="D19" s="38">
        <v>1</v>
      </c>
      <c r="E19" s="39">
        <v>0.01</v>
      </c>
      <c r="F19" s="38"/>
      <c r="G19" s="39">
        <f t="shared" ref="G19:G63" si="1">E19*D19</f>
        <v>0.01</v>
      </c>
    </row>
    <row r="20" spans="2:7">
      <c r="B20" s="37" t="str">
        <f t="shared" si="0"/>
        <v>"[CCC Level 313] Sleeping Beauty"</v>
      </c>
      <c r="C20" s="36">
        <v>9781640157118</v>
      </c>
      <c r="D20" s="38">
        <v>1</v>
      </c>
      <c r="E20" s="39">
        <v>0.01</v>
      </c>
      <c r="F20" s="38"/>
      <c r="G20" s="39">
        <f t="shared" si="1"/>
        <v>0.01</v>
      </c>
    </row>
    <row r="21" spans="2:7">
      <c r="B21" s="37" t="str">
        <f>_xlfn.WEBSERVICE("https://seg-server.vercel.app/api/books/name/"&amp;C21)</f>
        <v>"[CCR Level 17] The Jungle Book  Leveled Reader"</v>
      </c>
      <c r="C21" s="36">
        <v>9781599661872</v>
      </c>
      <c r="D21" s="38">
        <v>1</v>
      </c>
      <c r="E21" s="39">
        <v>0.01</v>
      </c>
      <c r="F21" s="38"/>
      <c r="G21" s="39">
        <f t="shared" si="1"/>
        <v>0.01</v>
      </c>
    </row>
    <row r="22" spans="2:7">
      <c r="B22" s="37" t="str">
        <f t="shared" si="0"/>
        <v>"[CCR Level 31] The Merchant of Venice  Leveled Reader"</v>
      </c>
      <c r="C22" s="36">
        <v>9781599662268</v>
      </c>
      <c r="D22" s="38">
        <v>1</v>
      </c>
      <c r="E22" s="39">
        <v>0.01</v>
      </c>
      <c r="F22" s="38"/>
      <c r="G22" s="39">
        <f t="shared" si="1"/>
        <v>0.01</v>
      </c>
    </row>
    <row r="23" spans="2:7">
      <c r="B23" s="37" t="str">
        <f t="shared" si="0"/>
        <v>"[CCR Level 47] Around the World in Eighty   Leveled Reader"</v>
      </c>
      <c r="C23" s="36">
        <v>9781599662718</v>
      </c>
      <c r="D23" s="38">
        <v>1</v>
      </c>
      <c r="E23" s="39">
        <v>0.01</v>
      </c>
      <c r="F23" s="38"/>
      <c r="G23" s="39">
        <f t="shared" si="1"/>
        <v>0.01</v>
      </c>
    </row>
    <row r="24" spans="2:7">
      <c r="B24" s="37" t="str">
        <f t="shared" si="0"/>
        <v>"[CCR Level 51] The Invisible Man  Leveled Reader"</v>
      </c>
      <c r="C24" s="36">
        <v>9781599662923</v>
      </c>
      <c r="D24" s="38">
        <v>1</v>
      </c>
      <c r="E24" s="39">
        <v>0.01</v>
      </c>
      <c r="F24" s="38"/>
      <c r="G24" s="39">
        <f t="shared" si="1"/>
        <v>0.01</v>
      </c>
    </row>
    <row r="25" spans="2:7">
      <c r="B25" s="37" t="str">
        <f>_xlfn.WEBSERVICE("https://seg-server.vercel.app/api/books/name/"&amp;C25)</f>
        <v>"[CCR Level 67] Classic British Short Stories  Leveled Reader"</v>
      </c>
      <c r="C25" s="36">
        <v>9781599663340</v>
      </c>
      <c r="D25" s="38">
        <v>1</v>
      </c>
      <c r="E25" s="39">
        <v>0.01</v>
      </c>
      <c r="F25" s="38"/>
      <c r="G25" s="39">
        <f t="shared" si="1"/>
        <v>0.01</v>
      </c>
    </row>
    <row r="26" spans="2:7">
      <c r="B26" s="37" t="str">
        <f>_xlfn.WEBSERVICE("https://seg-server.vercel.app/api/books/name/"&amp;C26)</f>
        <v>"[CR Level 14] My Ocean Friends  Leveled Reader with Downloadable Audio"</v>
      </c>
      <c r="C26" s="36">
        <v>9781613525647</v>
      </c>
      <c r="D26" s="38">
        <v>1</v>
      </c>
      <c r="E26" s="39">
        <v>0.01</v>
      </c>
      <c r="F26" s="38"/>
      <c r="G26" s="39">
        <f t="shared" si="1"/>
        <v>0.01</v>
      </c>
    </row>
    <row r="27" spans="2:7">
      <c r="B27" s="37" t="str">
        <f t="shared" si="0"/>
        <v>"[CR Level 21] Too Tall Tina  Leveled Reader with Downloadable Audio"</v>
      </c>
      <c r="C27" s="36">
        <v>9781613525722</v>
      </c>
      <c r="D27" s="38">
        <v>1</v>
      </c>
      <c r="E27" s="39">
        <v>0.01</v>
      </c>
      <c r="F27" s="38"/>
      <c r="G27" s="39">
        <f t="shared" si="1"/>
        <v>0.01</v>
      </c>
    </row>
    <row r="28" spans="2:7">
      <c r="B28" s="37" t="str">
        <f t="shared" si="0"/>
        <v>"[CR Level 34] A Special Bear in New York  Leveled Reader with Downloadable Audio"</v>
      </c>
      <c r="C28" s="36">
        <v>9781613525869</v>
      </c>
      <c r="D28" s="38">
        <v>1</v>
      </c>
      <c r="E28" s="39">
        <v>0.01</v>
      </c>
      <c r="F28" s="38"/>
      <c r="G28" s="39">
        <f t="shared" si="1"/>
        <v>0.01</v>
      </c>
    </row>
    <row r="29" spans="2:7">
      <c r="B29" s="37" t="str">
        <f t="shared" si="0"/>
        <v>"[CR Level 410] Weird Plants  Leveled Reader with Downloadable Audio"</v>
      </c>
      <c r="C29" s="36">
        <v>9781613526033</v>
      </c>
      <c r="D29" s="38">
        <v>1</v>
      </c>
      <c r="E29" s="39">
        <v>0.01</v>
      </c>
      <c r="F29" s="38"/>
      <c r="G29" s="39">
        <f t="shared" si="1"/>
        <v>0.01</v>
      </c>
    </row>
    <row r="30" spans="2:7">
      <c r="B30" s="37" t="str">
        <f t="shared" si="0"/>
        <v>"[CR Level 510] The Sherpa: People of the Mountains  Leveled Reader with Downloadable Audio"</v>
      </c>
      <c r="C30" s="36">
        <v>9781613526224</v>
      </c>
      <c r="D30" s="38">
        <v>1</v>
      </c>
      <c r="E30" s="39">
        <v>0.01</v>
      </c>
      <c r="F30" s="38"/>
      <c r="G30" s="39">
        <f t="shared" si="1"/>
        <v>0.01</v>
      </c>
    </row>
    <row r="31" spans="2:7">
      <c r="B31" s="37" t="str">
        <f t="shared" si="0"/>
        <v>"[CR Level 69] Korea  Leveled Reader with Downloadable Audio"</v>
      </c>
      <c r="C31" s="36">
        <v>9781613526248</v>
      </c>
      <c r="D31" s="38">
        <v>1</v>
      </c>
      <c r="E31" s="39">
        <v>0.01</v>
      </c>
      <c r="F31" s="38"/>
      <c r="G31" s="39">
        <f t="shared" si="1"/>
        <v>0.01</v>
      </c>
    </row>
    <row r="32" spans="2:7">
      <c r="B32" s="37" t="str">
        <f t="shared" si="0"/>
        <v>"[CR Level 74] Bantay the Magic Dog  Leveled Reader with Downloadable Audio"</v>
      </c>
      <c r="C32" s="36">
        <v>9781613526309</v>
      </c>
      <c r="D32" s="38">
        <v>1</v>
      </c>
      <c r="E32" s="39">
        <v>0.01</v>
      </c>
      <c r="F32" s="38"/>
      <c r="G32" s="39">
        <f t="shared" si="1"/>
        <v>0.01</v>
      </c>
    </row>
    <row r="33" spans="2:7">
      <c r="B33" s="37" t="str">
        <f t="shared" si="0"/>
        <v>"[YLCR Level 15] Bellerophon and Pegasus Leveled Reader"</v>
      </c>
      <c r="C33" s="36">
        <v>9781599666365</v>
      </c>
      <c r="D33" s="38">
        <v>1</v>
      </c>
      <c r="E33" s="39">
        <v>0.01</v>
      </c>
      <c r="F33" s="38"/>
      <c r="G33" s="39">
        <f t="shared" si="1"/>
        <v>0.01</v>
      </c>
    </row>
    <row r="34" spans="2:7">
      <c r="B34" s="37" t="str">
        <f t="shared" si="0"/>
        <v>"[YLCR Level 25] Jack and the Magic Beans Leveled Reader"</v>
      </c>
      <c r="C34" s="36">
        <v>9781599666464</v>
      </c>
      <c r="D34" s="38">
        <v>1</v>
      </c>
      <c r="E34" s="39">
        <v>0.01</v>
      </c>
      <c r="F34" s="38"/>
      <c r="G34" s="39">
        <f t="shared" si="1"/>
        <v>0.01</v>
      </c>
    </row>
    <row r="35" spans="2:7">
      <c r="B35" s="37" t="str">
        <f t="shared" si="0"/>
        <v>"[YLCR Level 31] Cinderella Leveled Reader"</v>
      </c>
      <c r="C35" s="36">
        <v>9781599666525</v>
      </c>
      <c r="D35" s="38">
        <v>1</v>
      </c>
      <c r="E35" s="39">
        <v>0.01</v>
      </c>
      <c r="F35" s="38"/>
      <c r="G35" s="39">
        <f t="shared" si="1"/>
        <v>0.01</v>
      </c>
    </row>
    <row r="36" spans="2:7">
      <c r="B36" s="37" t="str">
        <f t="shared" si="0"/>
        <v>"[YLCR Level 56] What Katy Did Leveled Reader"</v>
      </c>
      <c r="C36" s="36">
        <v>9781599666778</v>
      </c>
      <c r="D36" s="38">
        <v>1</v>
      </c>
      <c r="E36" s="39">
        <v>0.01</v>
      </c>
      <c r="F36" s="38"/>
      <c r="G36" s="39">
        <f t="shared" si="1"/>
        <v>0.01</v>
      </c>
    </row>
    <row r="37" spans="2:7">
      <c r="B37" s="37" t="str">
        <f t="shared" si="0"/>
        <v>"[YLCR Level 63] The Last Leaf Leveled Reader"</v>
      </c>
      <c r="C37" s="36">
        <v>9781599666846</v>
      </c>
      <c r="D37" s="38">
        <v>1</v>
      </c>
      <c r="E37" s="39">
        <v>0.01</v>
      </c>
      <c r="F37" s="38"/>
      <c r="G37" s="39">
        <f t="shared" si="1"/>
        <v>0.01</v>
      </c>
    </row>
    <row r="38" spans="2:7">
      <c r="B38" s="37" t="str">
        <f t="shared" si="0"/>
        <v>"Hang Out! Plus Starter Student Book"</v>
      </c>
      <c r="C38" s="36">
        <v>9798893461725</v>
      </c>
      <c r="D38" s="38">
        <v>1</v>
      </c>
      <c r="E38" s="39">
        <v>0.01</v>
      </c>
      <c r="F38" s="38"/>
      <c r="G38" s="39">
        <f t="shared" si="1"/>
        <v>0.01</v>
      </c>
    </row>
    <row r="39" spans="2:7">
      <c r="B39" s="37" t="str">
        <f t="shared" si="0"/>
        <v>"Hang Out! Plus 1 Student Book"</v>
      </c>
      <c r="C39" s="36">
        <v>9798893461664</v>
      </c>
      <c r="D39" s="38">
        <v>1</v>
      </c>
      <c r="E39" s="39">
        <v>0.01</v>
      </c>
      <c r="F39" s="38"/>
      <c r="G39" s="39">
        <f t="shared" si="1"/>
        <v>0.01</v>
      </c>
    </row>
    <row r="40" spans="2:7">
      <c r="B40" s="37" t="str">
        <f t="shared" si="0"/>
        <v>"Hang Out! Plus 2 Student Book"</v>
      </c>
      <c r="C40" s="36">
        <v>9798893461671</v>
      </c>
      <c r="D40" s="38">
        <v>1</v>
      </c>
      <c r="E40" s="39">
        <v>0.01</v>
      </c>
      <c r="F40" s="38"/>
      <c r="G40" s="39">
        <f t="shared" si="1"/>
        <v>0.01</v>
      </c>
    </row>
    <row r="41" spans="2:7">
      <c r="B41" s="37" t="str">
        <f t="shared" si="0"/>
        <v>"Hang Out! Plus 3 Student Book"</v>
      </c>
      <c r="C41" s="36">
        <v>9798893461688</v>
      </c>
      <c r="D41" s="38">
        <v>1</v>
      </c>
      <c r="E41" s="39">
        <v>0.01</v>
      </c>
      <c r="F41" s="38"/>
      <c r="G41" s="39">
        <f t="shared" si="1"/>
        <v>0.01</v>
      </c>
    </row>
    <row r="42" spans="2:7">
      <c r="B42" s="37" t="str">
        <f t="shared" si="0"/>
        <v>"Hang Out! Plus 4 Student Book"</v>
      </c>
      <c r="C42" s="36">
        <v>9798893461695</v>
      </c>
      <c r="D42" s="38">
        <v>1</v>
      </c>
      <c r="E42" s="39">
        <v>0.01</v>
      </c>
      <c r="F42" s="38"/>
      <c r="G42" s="39">
        <f t="shared" si="1"/>
        <v>0.01</v>
      </c>
    </row>
    <row r="43" spans="2:7">
      <c r="B43" s="37" t="str">
        <f t="shared" si="0"/>
        <v>"Hang Out! Plus 5 Student Book"</v>
      </c>
      <c r="C43" s="36">
        <v>9798893461701</v>
      </c>
      <c r="D43" s="38">
        <v>1</v>
      </c>
      <c r="E43" s="39">
        <v>0.01</v>
      </c>
      <c r="F43" s="38"/>
      <c r="G43" s="39">
        <f t="shared" si="1"/>
        <v>0.01</v>
      </c>
    </row>
    <row r="44" spans="2:7">
      <c r="B44" s="37" t="str">
        <f t="shared" si="0"/>
        <v>"Hang Out! Plus 6 Student Book"</v>
      </c>
      <c r="C44" s="36">
        <v>9798893461718</v>
      </c>
      <c r="D44" s="38">
        <v>1</v>
      </c>
      <c r="E44" s="39">
        <v>0.01</v>
      </c>
      <c r="F44" s="38"/>
      <c r="G44" s="39">
        <f t="shared" si="1"/>
        <v>0.01</v>
      </c>
    </row>
    <row r="45" spans="2:7">
      <c r="B45" s="37" t="str">
        <f t="shared" si="0"/>
        <v>"Hang Out! Plus Starter Workbook"</v>
      </c>
      <c r="C45" s="36">
        <v>9798893461794</v>
      </c>
      <c r="D45" s="38">
        <v>1</v>
      </c>
      <c r="E45" s="39">
        <v>0.01</v>
      </c>
      <c r="F45" s="38"/>
      <c r="G45" s="39">
        <f t="shared" si="1"/>
        <v>0.01</v>
      </c>
    </row>
    <row r="46" spans="2:7">
      <c r="B46" s="37" t="str">
        <f t="shared" si="0"/>
        <v>"Hang Out! Plus 1 Workbook"</v>
      </c>
      <c r="C46" s="36">
        <v>9798893461732</v>
      </c>
      <c r="D46" s="38">
        <v>1</v>
      </c>
      <c r="E46" s="39">
        <v>0.01</v>
      </c>
      <c r="F46" s="38"/>
      <c r="G46" s="39">
        <f t="shared" si="1"/>
        <v>0.01</v>
      </c>
    </row>
    <row r="47" spans="2:7">
      <c r="B47" s="37" t="str">
        <f t="shared" si="0"/>
        <v>"Hang Out! Plus 2 Workbook"</v>
      </c>
      <c r="C47" s="36">
        <v>9798893461749</v>
      </c>
      <c r="D47" s="38">
        <v>1</v>
      </c>
      <c r="E47" s="39">
        <v>0.01</v>
      </c>
      <c r="F47" s="38"/>
      <c r="G47" s="39">
        <f t="shared" si="1"/>
        <v>0.01</v>
      </c>
    </row>
    <row r="48" spans="2:7">
      <c r="B48" s="37" t="str">
        <f t="shared" si="0"/>
        <v>"Hang Out! Plus 3 Workbook"</v>
      </c>
      <c r="C48" s="36">
        <v>9798893461756</v>
      </c>
      <c r="D48" s="38">
        <v>1</v>
      </c>
      <c r="E48" s="39">
        <v>0.01</v>
      </c>
      <c r="F48" s="38"/>
      <c r="G48" s="39">
        <f t="shared" si="1"/>
        <v>0.01</v>
      </c>
    </row>
    <row r="49" spans="2:7">
      <c r="B49" s="37" t="str">
        <f t="shared" si="0"/>
        <v>"Hang Out! Plus 4 Workbook"</v>
      </c>
      <c r="C49" s="36">
        <v>9798893461763</v>
      </c>
      <c r="D49" s="38">
        <v>1</v>
      </c>
      <c r="E49" s="39">
        <v>0.01</v>
      </c>
      <c r="F49" s="38"/>
      <c r="G49" s="39">
        <f t="shared" si="1"/>
        <v>0.01</v>
      </c>
    </row>
    <row r="50" spans="2:7">
      <c r="B50" s="37" t="str">
        <f t="shared" si="0"/>
        <v>"Hang Out! Plus 5 Workbook"</v>
      </c>
      <c r="C50" s="36">
        <v>9798893461770</v>
      </c>
      <c r="D50" s="38">
        <v>1</v>
      </c>
      <c r="E50" s="39">
        <v>0.01</v>
      </c>
      <c r="F50" s="38"/>
      <c r="G50" s="39">
        <f t="shared" si="1"/>
        <v>0.01</v>
      </c>
    </row>
    <row r="51" spans="2:7">
      <c r="B51" s="37" t="str">
        <f t="shared" si="0"/>
        <v>"Hang Out! Plus 6 Workbook"</v>
      </c>
      <c r="C51" s="36">
        <v>9798893461787</v>
      </c>
      <c r="D51" s="38">
        <v>1</v>
      </c>
      <c r="E51" s="39">
        <v>0.01</v>
      </c>
      <c r="F51" s="38"/>
      <c r="G51" s="39">
        <f t="shared" si="1"/>
        <v>0.01</v>
      </c>
    </row>
    <row r="52" spans="2:7">
      <c r="B52" s="37" t="s">
        <v>24</v>
      </c>
      <c r="C52" s="36"/>
      <c r="D52" s="38">
        <v>1</v>
      </c>
      <c r="E52" s="39">
        <v>0.01</v>
      </c>
      <c r="F52" s="38"/>
      <c r="G52" s="39">
        <f t="shared" si="1"/>
        <v>0.01</v>
      </c>
    </row>
    <row r="53" spans="2:7">
      <c r="B53" s="37" t="s">
        <v>25</v>
      </c>
      <c r="C53" s="36"/>
      <c r="D53" s="38">
        <v>1</v>
      </c>
      <c r="E53" s="39">
        <v>0.01</v>
      </c>
      <c r="F53" s="38"/>
      <c r="G53" s="39">
        <f t="shared" si="1"/>
        <v>0.01</v>
      </c>
    </row>
    <row r="54" spans="2:7">
      <c r="B54" s="37" t="s">
        <v>26</v>
      </c>
      <c r="C54" s="36"/>
      <c r="D54" s="38">
        <v>1</v>
      </c>
      <c r="E54" s="39">
        <v>0.01</v>
      </c>
      <c r="F54" s="38"/>
      <c r="G54" s="39">
        <f t="shared" si="1"/>
        <v>0.01</v>
      </c>
    </row>
    <row r="55" spans="2:7">
      <c r="B55" s="37" t="s">
        <v>27</v>
      </c>
      <c r="C55" s="36"/>
      <c r="D55" s="38">
        <v>1</v>
      </c>
      <c r="E55" s="39">
        <v>0.01</v>
      </c>
      <c r="F55" s="38"/>
      <c r="G55" s="39">
        <f t="shared" si="1"/>
        <v>0.01</v>
      </c>
    </row>
    <row r="56" spans="2:7">
      <c r="B56" s="37" t="s">
        <v>28</v>
      </c>
      <c r="C56" s="36"/>
      <c r="D56" s="38">
        <v>1</v>
      </c>
      <c r="E56" s="39">
        <v>0.01</v>
      </c>
      <c r="F56" s="38"/>
      <c r="G56" s="39">
        <f t="shared" si="1"/>
        <v>0.01</v>
      </c>
    </row>
    <row r="57" spans="2:7">
      <c r="B57" s="37" t="s">
        <v>29</v>
      </c>
      <c r="C57" s="36"/>
      <c r="D57" s="38">
        <v>1</v>
      </c>
      <c r="E57" s="39">
        <v>0.01</v>
      </c>
      <c r="F57" s="38"/>
      <c r="G57" s="39">
        <f t="shared" si="1"/>
        <v>0.01</v>
      </c>
    </row>
    <row r="58" spans="2:7">
      <c r="B58" s="37" t="s">
        <v>30</v>
      </c>
      <c r="C58" s="36"/>
      <c r="D58" s="38">
        <v>1</v>
      </c>
      <c r="E58" s="39">
        <v>0.01</v>
      </c>
      <c r="F58" s="38"/>
      <c r="G58" s="39">
        <f t="shared" si="1"/>
        <v>0.01</v>
      </c>
    </row>
    <row r="59" spans="2:7">
      <c r="B59" s="37" t="s">
        <v>31</v>
      </c>
      <c r="C59" s="36"/>
      <c r="D59" s="38">
        <v>1</v>
      </c>
      <c r="E59" s="39">
        <v>0.01</v>
      </c>
      <c r="F59" s="38"/>
      <c r="G59" s="39">
        <f t="shared" si="1"/>
        <v>0.01</v>
      </c>
    </row>
    <row r="60" spans="2:7">
      <c r="B60" s="37" t="s">
        <v>32</v>
      </c>
      <c r="C60" s="36"/>
      <c r="D60" s="38">
        <v>1</v>
      </c>
      <c r="E60" s="39">
        <v>0.01</v>
      </c>
      <c r="F60" s="38"/>
      <c r="G60" s="39">
        <f t="shared" si="1"/>
        <v>0.01</v>
      </c>
    </row>
    <row r="61" spans="2:7">
      <c r="B61" s="37" t="s">
        <v>33</v>
      </c>
      <c r="C61" s="36"/>
      <c r="D61" s="38">
        <v>1</v>
      </c>
      <c r="E61" s="39">
        <v>0.01</v>
      </c>
      <c r="F61" s="38"/>
      <c r="G61" s="39">
        <f t="shared" si="1"/>
        <v>0.01</v>
      </c>
    </row>
    <row r="62" spans="2:7">
      <c r="B62" s="37" t="s">
        <v>34</v>
      </c>
      <c r="C62" s="36"/>
      <c r="D62" s="38">
        <v>1</v>
      </c>
      <c r="E62" s="39">
        <v>0.01</v>
      </c>
      <c r="F62" s="38"/>
      <c r="G62" s="39">
        <f t="shared" si="1"/>
        <v>0.01</v>
      </c>
    </row>
    <row r="63" spans="2:7">
      <c r="B63" s="37" t="s">
        <v>35</v>
      </c>
      <c r="C63" s="36"/>
      <c r="D63" s="38">
        <v>1</v>
      </c>
      <c r="E63" s="39">
        <v>0.01</v>
      </c>
      <c r="F63" s="38"/>
      <c r="G63" s="39">
        <f t="shared" si="1"/>
        <v>0.01</v>
      </c>
    </row>
    <row r="65" spans="2:7">
      <c r="B65" s="20"/>
      <c r="C65" s="21"/>
      <c r="D65" s="21"/>
      <c r="E65" s="21"/>
      <c r="F65" s="21"/>
      <c r="G65" s="22"/>
    </row>
    <row r="66" spans="2:7">
      <c r="B66" s="25" t="s">
        <v>14</v>
      </c>
      <c r="E66" s="4"/>
      <c r="G66" s="24"/>
    </row>
    <row r="67" spans="2:7" ht="30.75" customHeight="1">
      <c r="B67" s="23"/>
      <c r="E67" s="4"/>
      <c r="G67" s="24"/>
    </row>
    <row r="68" spans="2:7" ht="30.75" customHeight="1">
      <c r="B68" s="23"/>
      <c r="E68" s="4"/>
      <c r="G68" s="24"/>
    </row>
    <row r="69" spans="2:7" ht="15.75" customHeight="1">
      <c r="B69" s="23" t="s">
        <v>21</v>
      </c>
      <c r="C69" s="16"/>
      <c r="D69" s="16"/>
      <c r="E69" s="16"/>
      <c r="F69" s="16"/>
      <c r="G69" s="26"/>
    </row>
    <row r="70" spans="2:7" ht="15.75" customHeight="1">
      <c r="B70" s="23"/>
      <c r="C70" s="16"/>
      <c r="D70" s="16"/>
      <c r="E70" s="16"/>
      <c r="F70" s="16"/>
      <c r="G70" s="26"/>
    </row>
    <row r="71" spans="2:7" ht="22.5" customHeight="1">
      <c r="B71" s="23"/>
      <c r="E71" s="4"/>
      <c r="G71" s="24"/>
    </row>
    <row r="72" spans="2:7" ht="15.75" customHeight="1">
      <c r="B72" s="33" t="s">
        <v>22</v>
      </c>
      <c r="C72" s="30"/>
      <c r="D72" s="30"/>
      <c r="E72" s="30"/>
      <c r="F72" s="30"/>
      <c r="G72" s="31"/>
    </row>
    <row r="73" spans="2:7" ht="15.75" customHeight="1">
      <c r="E73" s="4"/>
      <c r="G73" s="4"/>
    </row>
    <row r="74" spans="2:7">
      <c r="E74" s="4"/>
      <c r="G74" s="4"/>
    </row>
    <row r="75" spans="2:7">
      <c r="E75" s="4"/>
      <c r="G75" s="4"/>
    </row>
  </sheetData>
  <mergeCells count="11">
    <mergeCell ref="B6:C6"/>
    <mergeCell ref="D6:G6"/>
    <mergeCell ref="B9:C9"/>
    <mergeCell ref="D9:G9"/>
    <mergeCell ref="B10:C10"/>
    <mergeCell ref="B11:C11"/>
    <mergeCell ref="B12:C12"/>
    <mergeCell ref="B72:G72"/>
    <mergeCell ref="D10:G12"/>
    <mergeCell ref="D7:G8"/>
    <mergeCell ref="B7:C8"/>
  </mergeCells>
  <pageMargins left="0.25" right="0.25" top="0.75" bottom="0.75" header="0.3" footer="0.3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2025-12-01T03:20:13Z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